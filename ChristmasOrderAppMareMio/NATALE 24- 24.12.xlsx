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de3e8496ef9ccb99/Desktop/natale '24/"/>
    </mc:Choice>
  </mc:AlternateContent>
  <xr:revisionPtr revIDLastSave="8668" documentId="11_E36321A8305D431E618E48233E3A099DED42A704" xr6:coauthVersionLast="47" xr6:coauthVersionMax="47" xr10:uidLastSave="{0C458DE7-46A2-4F03-BB19-5F62A202EB7A}"/>
  <bookViews>
    <workbookView xWindow="-110" yWindow="-110" windowWidth="19420" windowHeight="10300" firstSheet="27" activeTab="29" xr2:uid="{00000000-000D-0000-FFFF-FFFF00000000}"/>
  </bookViews>
  <sheets>
    <sheet name="ANTIPASTI" sheetId="1" r:id="rId1"/>
    <sheet name="CRUDI" sheetId="19" r:id="rId2"/>
    <sheet name="PRIMI" sheetId="18" r:id="rId3"/>
    <sheet name="SUGHI" sheetId="22" r:id="rId4"/>
    <sheet name="SECONDI " sheetId="23" r:id="rId5"/>
    <sheet name="SALMONE MARINATO" sheetId="2" r:id="rId6"/>
    <sheet name="POLPO MEDITERRANEA" sheetId="5" r:id="rId7"/>
    <sheet name="POLPO E PATATE" sheetId="6" r:id="rId8"/>
    <sheet name="INSALATA DI MARE" sheetId="7" r:id="rId9"/>
    <sheet name="INSALATA RUSSA" sheetId="8" r:id="rId10"/>
    <sheet name="COCKTAIL GAMBERI" sheetId="9" r:id="rId11"/>
    <sheet name="INSALATA BACCALA" sheetId="10" r:id="rId12"/>
    <sheet name="GAMBERI CATALANA" sheetId="11" r:id="rId13"/>
    <sheet name="FLAN" sheetId="12" r:id="rId14"/>
    <sheet name="BRIOCHE SALMONE" sheetId="13" r:id="rId15"/>
    <sheet name="SFORMATINO" sheetId="15" r:id="rId16"/>
    <sheet name="GAMBERI KATAIFI" sheetId="16" r:id="rId17"/>
    <sheet name="PANETTONE" sheetId="17" r:id="rId18"/>
    <sheet name="ARAGOSTA BELLAVISTA" sheetId="50" r:id="rId19"/>
    <sheet name="PIATTO MISTO" sheetId="24" r:id="rId20"/>
    <sheet name="MAREMIO" sheetId="25" r:id="rId21"/>
    <sheet name="TART TONNO" sheetId="27" r:id="rId22"/>
    <sheet name="TART SALMONE" sheetId="28" r:id="rId23"/>
    <sheet name="TART ORATA" sheetId="29" r:id="rId24"/>
    <sheet name="TART BRANZINO" sheetId="30" r:id="rId25"/>
    <sheet name="LASAGNA MAZZANCOLLE" sheetId="31" r:id="rId26"/>
    <sheet name="CRESPELLE GAMBERI" sheetId="32" r:id="rId27"/>
    <sheet name="LASAGNA BRANZINO" sheetId="33" r:id="rId28"/>
    <sheet name="CANNELLONI" sheetId="34" r:id="rId29"/>
    <sheet name="CAPESANTE" sheetId="35" r:id="rId30"/>
    <sheet name="SUGO ASTICE" sheetId="36" r:id="rId31"/>
    <sheet name="RAGU GALLINELLA" sheetId="38" r:id="rId32"/>
    <sheet name="PESTO" sheetId="39" r:id="rId33"/>
    <sheet name="SUGO PESCATORA" sheetId="40" r:id="rId34"/>
    <sheet name="SPIEDINI" sheetId="41" r:id="rId35"/>
    <sheet name="ORATA" sheetId="42" r:id="rId36"/>
    <sheet name="BACCALA" sheetId="43" r:id="rId37"/>
    <sheet name="BRANZINO" sheetId="44" r:id="rId38"/>
    <sheet name="SALMONE" sheetId="45" r:id="rId39"/>
    <sheet name="EXTRA SUGHI 1" sheetId="46" r:id="rId40"/>
    <sheet name="EXTRA SUGHI 2" sheetId="47" r:id="rId41"/>
    <sheet name="EXTRA SECONDI" sheetId="49" r:id="rId42"/>
  </sheets>
  <definedNames>
    <definedName name="_xlnm.Print_Area" localSheetId="36">BACCALA!$A$1:$D$19</definedName>
    <definedName name="_xlnm.Print_Area" localSheetId="37">BRANZINO!$A$1:$D$19</definedName>
    <definedName name="_xlnm.Print_Area" localSheetId="14">'BRIOCHE SALMONE'!$A$1:$D$29</definedName>
    <definedName name="_xlnm.Print_Area" localSheetId="28">CANNELLONI!$A$1:$D$19</definedName>
    <definedName name="_xlnm.Print_Area" localSheetId="29">CAPESANTE!$A$1:$D$20</definedName>
    <definedName name="_xlnm.Print_Area" localSheetId="10">'COCKTAIL GAMBERI'!$A$1:$D$29</definedName>
    <definedName name="_xlnm.Print_Area" localSheetId="26">'CRESPELLE GAMBERI'!$A$1:$D$19</definedName>
    <definedName name="_xlnm.Print_Area" localSheetId="13">FLAN!$A$1:$D$19</definedName>
    <definedName name="_xlnm.Print_Area" localSheetId="12">'GAMBERI CATALANA'!$A$1:$D$21</definedName>
    <definedName name="_xlnm.Print_Area" localSheetId="16">'GAMBERI KATAIFI'!$A$1:$D$29</definedName>
    <definedName name="_xlnm.Print_Area" localSheetId="11">'INSALATA BACCALA'!$A$1:$D$22</definedName>
    <definedName name="_xlnm.Print_Area" localSheetId="8">'INSALATA DI MARE'!$A$1:$E$29</definedName>
    <definedName name="_xlnm.Print_Area" localSheetId="9">'INSALATA RUSSA'!$A$1:$D$20</definedName>
    <definedName name="_xlnm.Print_Area" localSheetId="27">'LASAGNA BRANZINO'!$A$1:$D$19</definedName>
    <definedName name="_xlnm.Print_Area" localSheetId="25">'LASAGNA MAZZANCOLLE'!$A$1:$D$19</definedName>
    <definedName name="_xlnm.Print_Area" localSheetId="20">MAREMIO!$A$1:$D$19</definedName>
    <definedName name="_xlnm.Print_Area" localSheetId="35">ORATA!$A$1:$D$19</definedName>
    <definedName name="_xlnm.Print_Area" localSheetId="17">PANETTONE!$A$1:$D$29</definedName>
    <definedName name="_xlnm.Print_Area" localSheetId="32">PESTO!$A$1:$D$19</definedName>
    <definedName name="_xlnm.Print_Area" localSheetId="19">'PIATTO MISTO'!$A$1:$D$29</definedName>
    <definedName name="_xlnm.Print_Area" localSheetId="7">'POLPO E PATATE'!$A$1:$E$29</definedName>
    <definedName name="_xlnm.Print_Area" localSheetId="6">'POLPO MEDITERRANEA'!$A$1:$E$29</definedName>
    <definedName name="_xlnm.Print_Area" localSheetId="31">'RAGU GALLINELLA'!$A$1:$D$19</definedName>
    <definedName name="_xlnm.Print_Area" localSheetId="38">SALMONE!$A$1:$D$19</definedName>
    <definedName name="_xlnm.Print_Area" localSheetId="5">'SALMONE MARINATO'!$A$1:$E$29</definedName>
    <definedName name="_xlnm.Print_Area" localSheetId="15">SFORMATINO!$A$1:$D$29</definedName>
    <definedName name="_xlnm.Print_Area" localSheetId="34">SPIEDINI!$A$1:$D$19</definedName>
    <definedName name="_xlnm.Print_Area" localSheetId="30">'SUGO ASTICE'!$A$1:$D$19</definedName>
    <definedName name="_xlnm.Print_Area" localSheetId="33">'SUGO PESCATORA'!$A$1:$D$19</definedName>
    <definedName name="_xlnm.Print_Area" localSheetId="24">'TART BRANZINO'!$A$1:$D$19</definedName>
    <definedName name="_xlnm.Print_Area" localSheetId="23">'TART ORATA'!$A$1:$D$19</definedName>
    <definedName name="_xlnm.Print_Area" localSheetId="22">'TART SALMONE'!$A$1:$D$19</definedName>
    <definedName name="_xlnm.Print_Area" localSheetId="21">'TART TONNO'!$A$1:$D$19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5" l="1"/>
  <c r="C19" i="35" s="1"/>
  <c r="C20" i="35" s="1"/>
  <c r="C228" i="18"/>
  <c r="E228" i="18"/>
  <c r="F228" i="18"/>
  <c r="G228" i="18"/>
  <c r="H228" i="18"/>
  <c r="C18" i="35"/>
  <c r="B27" i="50"/>
  <c r="B28" i="50"/>
  <c r="C28" i="50" s="1"/>
  <c r="C27" i="50"/>
  <c r="H204" i="23" l="1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03" i="23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03" i="22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0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05" i="18"/>
  <c r="G206" i="18"/>
  <c r="G207" i="18"/>
  <c r="G208" i="18"/>
  <c r="G209" i="18"/>
  <c r="G210" i="18"/>
  <c r="G211" i="18"/>
  <c r="G212" i="18"/>
  <c r="G213" i="18"/>
  <c r="G214" i="18"/>
  <c r="G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04" i="18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07" i="1"/>
  <c r="P208" i="1"/>
  <c r="B5" i="50" s="1"/>
  <c r="C5" i="50" s="1"/>
  <c r="P209" i="1"/>
  <c r="B6" i="50" s="1"/>
  <c r="C6" i="50" s="1"/>
  <c r="P210" i="1"/>
  <c r="B7" i="50" s="1"/>
  <c r="C7" i="50" s="1"/>
  <c r="P211" i="1"/>
  <c r="B8" i="50" s="1"/>
  <c r="C8" i="50" s="1"/>
  <c r="P212" i="1"/>
  <c r="B9" i="50" s="1"/>
  <c r="C9" i="50" s="1"/>
  <c r="P213" i="1"/>
  <c r="B10" i="50" s="1"/>
  <c r="C10" i="50" s="1"/>
  <c r="P214" i="1"/>
  <c r="B11" i="50" s="1"/>
  <c r="C11" i="50" s="1"/>
  <c r="P215" i="1"/>
  <c r="B12" i="50" s="1"/>
  <c r="C12" i="50" s="1"/>
  <c r="P216" i="1"/>
  <c r="B13" i="50" s="1"/>
  <c r="C13" i="50" s="1"/>
  <c r="P217" i="1"/>
  <c r="B14" i="50" s="1"/>
  <c r="C14" i="50" s="1"/>
  <c r="P218" i="1"/>
  <c r="B15" i="50" s="1"/>
  <c r="C15" i="50" s="1"/>
  <c r="P219" i="1"/>
  <c r="B16" i="50" s="1"/>
  <c r="C16" i="50" s="1"/>
  <c r="P220" i="1"/>
  <c r="B17" i="50" s="1"/>
  <c r="C17" i="50" s="1"/>
  <c r="P221" i="1"/>
  <c r="B18" i="50" s="1"/>
  <c r="C18" i="50" s="1"/>
  <c r="P222" i="1"/>
  <c r="B19" i="50" s="1"/>
  <c r="C19" i="50" s="1"/>
  <c r="P223" i="1"/>
  <c r="B20" i="50" s="1"/>
  <c r="C20" i="50" s="1"/>
  <c r="P224" i="1"/>
  <c r="B21" i="50" s="1"/>
  <c r="C21" i="50" s="1"/>
  <c r="P225" i="1"/>
  <c r="B22" i="50" s="1"/>
  <c r="C22" i="50" s="1"/>
  <c r="P226" i="1"/>
  <c r="B23" i="50" s="1"/>
  <c r="C23" i="50" s="1"/>
  <c r="P227" i="1"/>
  <c r="B24" i="50" s="1"/>
  <c r="C24" i="50" s="1"/>
  <c r="P228" i="1"/>
  <c r="B25" i="50" s="1"/>
  <c r="C25" i="50" s="1"/>
  <c r="P207" i="1"/>
  <c r="B4" i="50" s="1"/>
  <c r="C4" i="50" s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B20" i="17" s="1"/>
  <c r="C20" i="17" s="1"/>
  <c r="O224" i="1"/>
  <c r="B21" i="17" s="1"/>
  <c r="C21" i="17" s="1"/>
  <c r="O225" i="1"/>
  <c r="B22" i="17" s="1"/>
  <c r="C22" i="17" s="1"/>
  <c r="O226" i="1"/>
  <c r="B23" i="17" s="1"/>
  <c r="C23" i="17" s="1"/>
  <c r="O227" i="1"/>
  <c r="B24" i="17" s="1"/>
  <c r="C24" i="17" s="1"/>
  <c r="O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B20" i="16" s="1"/>
  <c r="C20" i="16" s="1"/>
  <c r="N224" i="1"/>
  <c r="B21" i="16" s="1"/>
  <c r="C21" i="16" s="1"/>
  <c r="N225" i="1"/>
  <c r="B22" i="16" s="1"/>
  <c r="C22" i="16" s="1"/>
  <c r="N226" i="1"/>
  <c r="B23" i="16" s="1"/>
  <c r="C23" i="16" s="1"/>
  <c r="N227" i="1"/>
  <c r="B24" i="16" s="1"/>
  <c r="C24" i="16" s="1"/>
  <c r="N228" i="1"/>
  <c r="B25" i="16" s="1"/>
  <c r="C25" i="16" s="1"/>
  <c r="N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B20" i="15" s="1"/>
  <c r="C20" i="15" s="1"/>
  <c r="M224" i="1"/>
  <c r="B21" i="15" s="1"/>
  <c r="C21" i="15" s="1"/>
  <c r="M225" i="1"/>
  <c r="B22" i="15" s="1"/>
  <c r="C22" i="15" s="1"/>
  <c r="M226" i="1"/>
  <c r="B23" i="15" s="1"/>
  <c r="C23" i="15" s="1"/>
  <c r="M227" i="1"/>
  <c r="B24" i="15" s="1"/>
  <c r="C24" i="15" s="1"/>
  <c r="M228" i="1"/>
  <c r="B25" i="15" s="1"/>
  <c r="C25" i="15" s="1"/>
  <c r="M229" i="1"/>
  <c r="B26" i="15" s="1"/>
  <c r="C26" i="15" s="1"/>
  <c r="M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B20" i="13" s="1"/>
  <c r="C20" i="13" s="1"/>
  <c r="L224" i="1"/>
  <c r="B21" i="13" s="1"/>
  <c r="C21" i="13" s="1"/>
  <c r="L225" i="1"/>
  <c r="B22" i="13" s="1"/>
  <c r="C22" i="13" s="1"/>
  <c r="L226" i="1"/>
  <c r="B23" i="13" s="1"/>
  <c r="C23" i="13" s="1"/>
  <c r="L227" i="1"/>
  <c r="B24" i="13" s="1"/>
  <c r="C24" i="13" s="1"/>
  <c r="L228" i="1"/>
  <c r="B25" i="13" s="1"/>
  <c r="C25" i="13" s="1"/>
  <c r="L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B20" i="11" s="1"/>
  <c r="C20" i="11" s="1"/>
  <c r="J224" i="1"/>
  <c r="J225" i="1"/>
  <c r="J226" i="1"/>
  <c r="J227" i="1"/>
  <c r="J228" i="1"/>
  <c r="J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B20" i="10" s="1"/>
  <c r="C20" i="10" s="1"/>
  <c r="I224" i="1"/>
  <c r="B21" i="10" s="1"/>
  <c r="C21" i="10" s="1"/>
  <c r="I225" i="1"/>
  <c r="I226" i="1"/>
  <c r="I227" i="1"/>
  <c r="I228" i="1"/>
  <c r="I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B20" i="9" s="1"/>
  <c r="C20" i="9" s="1"/>
  <c r="H224" i="1"/>
  <c r="B21" i="9" s="1"/>
  <c r="C21" i="9" s="1"/>
  <c r="H225" i="1"/>
  <c r="B22" i="9" s="1"/>
  <c r="C22" i="9" s="1"/>
  <c r="H226" i="1"/>
  <c r="B23" i="9" s="1"/>
  <c r="C23" i="9" s="1"/>
  <c r="H227" i="1"/>
  <c r="B24" i="9" s="1"/>
  <c r="C24" i="9" s="1"/>
  <c r="H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B20" i="7" s="1"/>
  <c r="C20" i="7" s="1"/>
  <c r="F224" i="1"/>
  <c r="B21" i="7" s="1"/>
  <c r="C21" i="7" s="1"/>
  <c r="F225" i="1"/>
  <c r="B22" i="7" s="1"/>
  <c r="C22" i="7" s="1"/>
  <c r="F226" i="1"/>
  <c r="B23" i="7" s="1"/>
  <c r="C23" i="7" s="1"/>
  <c r="F227" i="1"/>
  <c r="B24" i="7" s="1"/>
  <c r="C24" i="7" s="1"/>
  <c r="F228" i="1"/>
  <c r="B25" i="7" s="1"/>
  <c r="C25" i="7" s="1"/>
  <c r="F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B20" i="6" s="1"/>
  <c r="C20" i="6" s="1"/>
  <c r="E224" i="1"/>
  <c r="B21" i="6" s="1"/>
  <c r="C21" i="6" s="1"/>
  <c r="E225" i="1"/>
  <c r="B22" i="6" s="1"/>
  <c r="C22" i="6" s="1"/>
  <c r="E226" i="1"/>
  <c r="B23" i="6" s="1"/>
  <c r="C23" i="6" s="1"/>
  <c r="E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B20" i="5" s="1"/>
  <c r="C20" i="5" s="1"/>
  <c r="D224" i="1"/>
  <c r="B21" i="5" s="1"/>
  <c r="C21" i="5" s="1"/>
  <c r="D225" i="1"/>
  <c r="B22" i="5" s="1"/>
  <c r="C22" i="5" s="1"/>
  <c r="D226" i="1"/>
  <c r="B23" i="5" s="1"/>
  <c r="C23" i="5" s="1"/>
  <c r="D227" i="1"/>
  <c r="B24" i="5" s="1"/>
  <c r="C24" i="5" s="1"/>
  <c r="D228" i="1"/>
  <c r="B25" i="5" s="1"/>
  <c r="C25" i="5" s="1"/>
  <c r="D229" i="1"/>
  <c r="B26" i="5" s="1"/>
  <c r="C26" i="5" s="1"/>
  <c r="D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B20" i="2" s="1"/>
  <c r="C20" i="2" s="1"/>
  <c r="C224" i="1"/>
  <c r="B21" i="2" s="1"/>
  <c r="C21" i="2" s="1"/>
  <c r="C225" i="1"/>
  <c r="B22" i="2" s="1"/>
  <c r="C22" i="2" s="1"/>
  <c r="C226" i="1"/>
  <c r="B23" i="2" s="1"/>
  <c r="C23" i="2" s="1"/>
  <c r="C227" i="1"/>
  <c r="B24" i="2" s="1"/>
  <c r="C24" i="2" s="1"/>
  <c r="C228" i="1"/>
  <c r="B25" i="2" s="1"/>
  <c r="C25" i="2" s="1"/>
  <c r="C207" i="1"/>
  <c r="B27" i="5"/>
  <c r="C27" i="5" s="1"/>
  <c r="B28" i="5"/>
  <c r="C28" i="5" s="1"/>
  <c r="B27" i="6"/>
  <c r="C27" i="6" s="1"/>
  <c r="B28" i="6"/>
  <c r="C28" i="6" s="1"/>
  <c r="B27" i="7"/>
  <c r="C27" i="7" s="1"/>
  <c r="B28" i="7"/>
  <c r="C28" i="7" s="1"/>
  <c r="B27" i="9"/>
  <c r="C27" i="9" s="1"/>
  <c r="B28" i="9"/>
  <c r="C28" i="9" s="1"/>
  <c r="B27" i="13"/>
  <c r="C27" i="13" s="1"/>
  <c r="B28" i="13"/>
  <c r="C28" i="13" s="1"/>
  <c r="B27" i="15"/>
  <c r="C27" i="15" s="1"/>
  <c r="B28" i="15"/>
  <c r="C28" i="15" s="1"/>
  <c r="B27" i="16"/>
  <c r="C27" i="16" s="1"/>
  <c r="B28" i="16"/>
  <c r="C28" i="16" s="1"/>
  <c r="B27" i="17"/>
  <c r="C27" i="17" s="1"/>
  <c r="B28" i="17"/>
  <c r="C28" i="17" s="1"/>
  <c r="B28" i="24"/>
  <c r="C28" i="24" s="1"/>
  <c r="B27" i="2"/>
  <c r="C27" i="2" s="1"/>
  <c r="B28" i="2"/>
  <c r="C28" i="2" s="1"/>
  <c r="M205" i="19"/>
  <c r="M206" i="19"/>
  <c r="M207" i="19"/>
  <c r="M208" i="19"/>
  <c r="M209" i="19"/>
  <c r="M210" i="19"/>
  <c r="M211" i="19"/>
  <c r="M212" i="19"/>
  <c r="M213" i="19"/>
  <c r="M214" i="19"/>
  <c r="M215" i="19"/>
  <c r="M216" i="19"/>
  <c r="M217" i="19"/>
  <c r="M218" i="19"/>
  <c r="M219" i="19"/>
  <c r="M220" i="19"/>
  <c r="M221" i="19"/>
  <c r="M222" i="19"/>
  <c r="M223" i="19"/>
  <c r="M224" i="19"/>
  <c r="M225" i="19"/>
  <c r="M226" i="19"/>
  <c r="M227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K205" i="19"/>
  <c r="K206" i="19"/>
  <c r="K207" i="19"/>
  <c r="K208" i="19"/>
  <c r="K209" i="19"/>
  <c r="K210" i="19"/>
  <c r="K211" i="19"/>
  <c r="K212" i="19"/>
  <c r="K213" i="19"/>
  <c r="K214" i="19"/>
  <c r="K215" i="19"/>
  <c r="K216" i="19"/>
  <c r="K217" i="19"/>
  <c r="K218" i="19"/>
  <c r="K219" i="19"/>
  <c r="K220" i="19"/>
  <c r="K221" i="19"/>
  <c r="K222" i="19"/>
  <c r="K223" i="19"/>
  <c r="K224" i="19"/>
  <c r="K225" i="19"/>
  <c r="K226" i="19"/>
  <c r="K227" i="19"/>
  <c r="M204" i="19"/>
  <c r="L204" i="19"/>
  <c r="K204" i="19"/>
  <c r="K203" i="19"/>
  <c r="L203" i="19"/>
  <c r="M203" i="19"/>
  <c r="H202" i="23"/>
  <c r="D202" i="23"/>
  <c r="E202" i="23"/>
  <c r="F202" i="23"/>
  <c r="G202" i="23"/>
  <c r="C202" i="23"/>
  <c r="D202" i="22"/>
  <c r="E202" i="22"/>
  <c r="F202" i="22"/>
  <c r="G202" i="22"/>
  <c r="H202" i="22"/>
  <c r="C202" i="22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C206" i="1"/>
  <c r="D203" i="19"/>
  <c r="E203" i="19"/>
  <c r="F203" i="19"/>
  <c r="G203" i="19"/>
  <c r="H203" i="19"/>
  <c r="I203" i="19"/>
  <c r="J203" i="19"/>
  <c r="C203" i="19"/>
  <c r="D203" i="18"/>
  <c r="E203" i="18"/>
  <c r="F203" i="18"/>
  <c r="G203" i="18"/>
  <c r="H203" i="18"/>
  <c r="C203" i="18"/>
  <c r="Q227" i="1"/>
  <c r="Q228" i="1"/>
  <c r="Q229" i="1"/>
  <c r="P229" i="1"/>
  <c r="B26" i="50" s="1"/>
  <c r="C26" i="50" s="1"/>
  <c r="C29" i="50" l="1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J204" i="19"/>
  <c r="I204" i="19"/>
  <c r="B5" i="49" l="1"/>
  <c r="C5" i="49" s="1"/>
  <c r="B6" i="49"/>
  <c r="C6" i="49" s="1"/>
  <c r="B7" i="49"/>
  <c r="C7" i="49" s="1"/>
  <c r="B8" i="49"/>
  <c r="C8" i="49" s="1"/>
  <c r="B9" i="49"/>
  <c r="C9" i="49" s="1"/>
  <c r="B10" i="49"/>
  <c r="C10" i="49" s="1"/>
  <c r="B11" i="49"/>
  <c r="C11" i="49" s="1"/>
  <c r="B12" i="49"/>
  <c r="C12" i="49" s="1"/>
  <c r="B13" i="49"/>
  <c r="C13" i="49" s="1"/>
  <c r="B14" i="49"/>
  <c r="C14" i="49" s="1"/>
  <c r="B15" i="49"/>
  <c r="C15" i="49" s="1"/>
  <c r="B16" i="49"/>
  <c r="C16" i="49" s="1"/>
  <c r="B17" i="49"/>
  <c r="C17" i="49" s="1"/>
  <c r="B18" i="49"/>
  <c r="C18" i="49" s="1"/>
  <c r="B19" i="49"/>
  <c r="C19" i="49" s="1"/>
  <c r="B20" i="49"/>
  <c r="C20" i="49" s="1"/>
  <c r="B21" i="49"/>
  <c r="C21" i="49" s="1"/>
  <c r="B22" i="49"/>
  <c r="C22" i="49" s="1"/>
  <c r="B23" i="49"/>
  <c r="C23" i="49" s="1"/>
  <c r="B24" i="49"/>
  <c r="C24" i="49" s="1"/>
  <c r="B25" i="49"/>
  <c r="C25" i="49" s="1"/>
  <c r="B26" i="49"/>
  <c r="C26" i="49" s="1"/>
  <c r="B27" i="49"/>
  <c r="C27" i="49" s="1"/>
  <c r="B28" i="49"/>
  <c r="C28" i="49" s="1"/>
  <c r="B4" i="49"/>
  <c r="C4" i="49" s="1"/>
  <c r="C29" i="49" l="1"/>
  <c r="B5" i="47"/>
  <c r="C5" i="47" s="1"/>
  <c r="B6" i="47"/>
  <c r="C6" i="47" s="1"/>
  <c r="B7" i="47"/>
  <c r="C7" i="47" s="1"/>
  <c r="B8" i="47"/>
  <c r="C8" i="47" s="1"/>
  <c r="B9" i="47"/>
  <c r="C9" i="47" s="1"/>
  <c r="B10" i="47"/>
  <c r="C10" i="47" s="1"/>
  <c r="B11" i="47"/>
  <c r="C11" i="47" s="1"/>
  <c r="B12" i="47"/>
  <c r="C12" i="47" s="1"/>
  <c r="B13" i="47"/>
  <c r="C13" i="47" s="1"/>
  <c r="B14" i="47"/>
  <c r="C14" i="47" s="1"/>
  <c r="B15" i="47"/>
  <c r="C15" i="47" s="1"/>
  <c r="B16" i="47"/>
  <c r="C16" i="47" s="1"/>
  <c r="B17" i="47"/>
  <c r="C17" i="47" s="1"/>
  <c r="B18" i="47"/>
  <c r="C18" i="47" s="1"/>
  <c r="B19" i="47"/>
  <c r="C19" i="47" s="1"/>
  <c r="B20" i="47"/>
  <c r="C20" i="47" s="1"/>
  <c r="B21" i="47"/>
  <c r="C21" i="47" s="1"/>
  <c r="B22" i="47"/>
  <c r="C22" i="47" s="1"/>
  <c r="B23" i="47"/>
  <c r="C23" i="47" s="1"/>
  <c r="B24" i="47"/>
  <c r="C24" i="47" s="1"/>
  <c r="B25" i="47"/>
  <c r="C25" i="47" s="1"/>
  <c r="B26" i="47"/>
  <c r="C26" i="47" s="1"/>
  <c r="B27" i="47"/>
  <c r="C27" i="47" s="1"/>
  <c r="B28" i="47"/>
  <c r="C28" i="47" s="1"/>
  <c r="B4" i="47"/>
  <c r="C4" i="47" s="1"/>
  <c r="B5" i="46"/>
  <c r="C5" i="46" s="1"/>
  <c r="B6" i="46"/>
  <c r="C6" i="46" s="1"/>
  <c r="B7" i="46"/>
  <c r="C7" i="46" s="1"/>
  <c r="B8" i="46"/>
  <c r="C8" i="46" s="1"/>
  <c r="B9" i="46"/>
  <c r="C9" i="46" s="1"/>
  <c r="B10" i="46"/>
  <c r="C10" i="46" s="1"/>
  <c r="B11" i="46"/>
  <c r="C11" i="46" s="1"/>
  <c r="B12" i="46"/>
  <c r="C12" i="46" s="1"/>
  <c r="B13" i="46"/>
  <c r="C13" i="46" s="1"/>
  <c r="B14" i="46"/>
  <c r="C14" i="46" s="1"/>
  <c r="B15" i="46"/>
  <c r="C15" i="46" s="1"/>
  <c r="B16" i="46"/>
  <c r="C16" i="46" s="1"/>
  <c r="B17" i="46"/>
  <c r="C17" i="46" s="1"/>
  <c r="B18" i="46"/>
  <c r="C18" i="46" s="1"/>
  <c r="B19" i="46"/>
  <c r="C19" i="46" s="1"/>
  <c r="B20" i="46"/>
  <c r="C20" i="46" s="1"/>
  <c r="B21" i="46"/>
  <c r="C21" i="46" s="1"/>
  <c r="B22" i="46"/>
  <c r="C22" i="46" s="1"/>
  <c r="B23" i="46"/>
  <c r="C23" i="46" s="1"/>
  <c r="B24" i="46"/>
  <c r="C24" i="46" s="1"/>
  <c r="B25" i="46"/>
  <c r="C25" i="46" s="1"/>
  <c r="B26" i="46"/>
  <c r="C26" i="46" s="1"/>
  <c r="B27" i="46"/>
  <c r="C27" i="46" s="1"/>
  <c r="G227" i="22"/>
  <c r="B28" i="46" s="1"/>
  <c r="C28" i="46" s="1"/>
  <c r="B4" i="46"/>
  <c r="C4" i="46" s="1"/>
  <c r="C29" i="46" l="1"/>
  <c r="C29" i="47"/>
  <c r="F227" i="23"/>
  <c r="E227" i="23"/>
  <c r="F226" i="23"/>
  <c r="B18" i="45"/>
  <c r="C18" i="45" s="1"/>
  <c r="B18" i="44"/>
  <c r="C18" i="44" s="1"/>
  <c r="B18" i="43"/>
  <c r="C18" i="43" s="1"/>
  <c r="B18" i="42"/>
  <c r="C18" i="42" s="1"/>
  <c r="B18" i="41"/>
  <c r="C18" i="41" s="1"/>
  <c r="B17" i="45"/>
  <c r="C17" i="45" s="1"/>
  <c r="B17" i="44"/>
  <c r="C17" i="44" s="1"/>
  <c r="B17" i="43"/>
  <c r="C17" i="43" s="1"/>
  <c r="B17" i="42"/>
  <c r="C17" i="42" s="1"/>
  <c r="B17" i="41"/>
  <c r="C17" i="41" s="1"/>
  <c r="B16" i="45"/>
  <c r="C16" i="45" s="1"/>
  <c r="B16" i="44"/>
  <c r="C16" i="44" s="1"/>
  <c r="B16" i="43"/>
  <c r="C16" i="43" s="1"/>
  <c r="B16" i="42"/>
  <c r="C16" i="42" s="1"/>
  <c r="B16" i="41"/>
  <c r="C16" i="41" s="1"/>
  <c r="B15" i="45"/>
  <c r="C15" i="45" s="1"/>
  <c r="B15" i="44"/>
  <c r="C15" i="44" s="1"/>
  <c r="B15" i="43"/>
  <c r="C15" i="43" s="1"/>
  <c r="B15" i="42"/>
  <c r="C15" i="42" s="1"/>
  <c r="B15" i="41"/>
  <c r="C15" i="41" s="1"/>
  <c r="B14" i="45"/>
  <c r="C14" i="45" s="1"/>
  <c r="B14" i="44"/>
  <c r="C14" i="44" s="1"/>
  <c r="B14" i="43"/>
  <c r="C14" i="43" s="1"/>
  <c r="B14" i="42"/>
  <c r="C14" i="42" s="1"/>
  <c r="B14" i="41"/>
  <c r="C14" i="41" s="1"/>
  <c r="B13" i="45"/>
  <c r="C13" i="45" s="1"/>
  <c r="B13" i="44"/>
  <c r="C13" i="44" s="1"/>
  <c r="B13" i="43"/>
  <c r="C13" i="43" s="1"/>
  <c r="B13" i="42"/>
  <c r="C13" i="42" s="1"/>
  <c r="B13" i="41"/>
  <c r="C13" i="41" s="1"/>
  <c r="B12" i="45"/>
  <c r="C12" i="45" s="1"/>
  <c r="B12" i="44"/>
  <c r="C12" i="44" s="1"/>
  <c r="B12" i="43"/>
  <c r="C12" i="43" s="1"/>
  <c r="B12" i="42"/>
  <c r="C12" i="42" s="1"/>
  <c r="B12" i="41"/>
  <c r="C12" i="41" s="1"/>
  <c r="B11" i="45"/>
  <c r="C11" i="45" s="1"/>
  <c r="B11" i="44"/>
  <c r="C11" i="44" s="1"/>
  <c r="B11" i="43"/>
  <c r="C11" i="43" s="1"/>
  <c r="B11" i="42"/>
  <c r="C11" i="42" s="1"/>
  <c r="B11" i="41"/>
  <c r="C11" i="41" s="1"/>
  <c r="B10" i="45"/>
  <c r="C10" i="45" s="1"/>
  <c r="B10" i="44"/>
  <c r="C10" i="44" s="1"/>
  <c r="B10" i="43"/>
  <c r="C10" i="43" s="1"/>
  <c r="B10" i="42"/>
  <c r="C10" i="42" s="1"/>
  <c r="B10" i="41"/>
  <c r="C10" i="41" s="1"/>
  <c r="B9" i="45"/>
  <c r="C9" i="45" s="1"/>
  <c r="B9" i="44"/>
  <c r="C9" i="44" s="1"/>
  <c r="B9" i="43"/>
  <c r="C9" i="43" s="1"/>
  <c r="B9" i="42"/>
  <c r="C9" i="42" s="1"/>
  <c r="B9" i="41"/>
  <c r="C9" i="41" s="1"/>
  <c r="B8" i="45"/>
  <c r="C8" i="45" s="1"/>
  <c r="B8" i="44"/>
  <c r="C8" i="44" s="1"/>
  <c r="B8" i="43"/>
  <c r="C8" i="43" s="1"/>
  <c r="B8" i="42"/>
  <c r="C8" i="42" s="1"/>
  <c r="B8" i="41"/>
  <c r="C8" i="41" s="1"/>
  <c r="B7" i="45"/>
  <c r="C7" i="45" s="1"/>
  <c r="B7" i="44"/>
  <c r="C7" i="44" s="1"/>
  <c r="B7" i="43"/>
  <c r="C7" i="43" s="1"/>
  <c r="B7" i="42"/>
  <c r="C7" i="42" s="1"/>
  <c r="B7" i="41"/>
  <c r="C7" i="41" s="1"/>
  <c r="B6" i="45"/>
  <c r="C6" i="45" s="1"/>
  <c r="B6" i="44"/>
  <c r="C6" i="44" s="1"/>
  <c r="B6" i="43"/>
  <c r="C6" i="43" s="1"/>
  <c r="B6" i="42"/>
  <c r="C6" i="42" s="1"/>
  <c r="B6" i="41"/>
  <c r="C6" i="41" s="1"/>
  <c r="B5" i="45"/>
  <c r="C5" i="45" s="1"/>
  <c r="B5" i="44"/>
  <c r="C5" i="44" s="1"/>
  <c r="B5" i="43"/>
  <c r="C5" i="43" s="1"/>
  <c r="B5" i="42"/>
  <c r="C5" i="42" s="1"/>
  <c r="B5" i="41"/>
  <c r="C5" i="41" s="1"/>
  <c r="B4" i="45"/>
  <c r="C4" i="45" s="1"/>
  <c r="B4" i="44"/>
  <c r="C4" i="44" s="1"/>
  <c r="B4" i="43"/>
  <c r="C4" i="43" s="1"/>
  <c r="B4" i="42"/>
  <c r="C4" i="42" s="1"/>
  <c r="B4" i="41"/>
  <c r="C4" i="41" s="1"/>
  <c r="B18" i="40"/>
  <c r="C18" i="40" s="1"/>
  <c r="B18" i="39"/>
  <c r="C18" i="39" s="1"/>
  <c r="B18" i="38"/>
  <c r="C18" i="38" s="1"/>
  <c r="B18" i="36"/>
  <c r="C18" i="36" s="1"/>
  <c r="B17" i="40"/>
  <c r="C17" i="40" s="1"/>
  <c r="B17" i="39"/>
  <c r="C17" i="39" s="1"/>
  <c r="B17" i="38"/>
  <c r="C17" i="38" s="1"/>
  <c r="B17" i="36"/>
  <c r="C17" i="36" s="1"/>
  <c r="B16" i="40"/>
  <c r="C16" i="40" s="1"/>
  <c r="B16" i="39"/>
  <c r="C16" i="39" s="1"/>
  <c r="B16" i="38"/>
  <c r="C16" i="38" s="1"/>
  <c r="B16" i="36"/>
  <c r="C16" i="36" s="1"/>
  <c r="B15" i="40"/>
  <c r="C15" i="40" s="1"/>
  <c r="B15" i="39"/>
  <c r="C15" i="39" s="1"/>
  <c r="B15" i="38"/>
  <c r="C15" i="38" s="1"/>
  <c r="B15" i="36"/>
  <c r="C15" i="36" s="1"/>
  <c r="B14" i="40"/>
  <c r="C14" i="40" s="1"/>
  <c r="B14" i="39"/>
  <c r="C14" i="39" s="1"/>
  <c r="B14" i="38"/>
  <c r="C14" i="38" s="1"/>
  <c r="B14" i="36"/>
  <c r="C14" i="36" s="1"/>
  <c r="B13" i="40"/>
  <c r="C13" i="40" s="1"/>
  <c r="B13" i="39"/>
  <c r="C13" i="39" s="1"/>
  <c r="B13" i="38"/>
  <c r="C13" i="38" s="1"/>
  <c r="B13" i="36"/>
  <c r="C13" i="36" s="1"/>
  <c r="B12" i="40"/>
  <c r="C12" i="40" s="1"/>
  <c r="B12" i="39"/>
  <c r="C12" i="39" s="1"/>
  <c r="B12" i="38"/>
  <c r="C12" i="38" s="1"/>
  <c r="B12" i="36"/>
  <c r="C12" i="36" s="1"/>
  <c r="B11" i="40"/>
  <c r="C11" i="40" s="1"/>
  <c r="B11" i="39"/>
  <c r="C11" i="39" s="1"/>
  <c r="B11" i="38"/>
  <c r="C11" i="38" s="1"/>
  <c r="B11" i="36"/>
  <c r="C11" i="36" s="1"/>
  <c r="B10" i="40"/>
  <c r="C10" i="40" s="1"/>
  <c r="B10" i="39"/>
  <c r="C10" i="39" s="1"/>
  <c r="B10" i="38"/>
  <c r="C10" i="38" s="1"/>
  <c r="B10" i="36"/>
  <c r="C10" i="36" s="1"/>
  <c r="B9" i="40"/>
  <c r="C9" i="40" s="1"/>
  <c r="B9" i="39"/>
  <c r="C9" i="39" s="1"/>
  <c r="B9" i="38"/>
  <c r="C9" i="38" s="1"/>
  <c r="B9" i="36"/>
  <c r="C9" i="36" s="1"/>
  <c r="B8" i="40"/>
  <c r="C8" i="40" s="1"/>
  <c r="B8" i="39"/>
  <c r="C8" i="39" s="1"/>
  <c r="B8" i="38"/>
  <c r="C8" i="38" s="1"/>
  <c r="B8" i="36"/>
  <c r="C8" i="36" s="1"/>
  <c r="B7" i="40"/>
  <c r="C7" i="40" s="1"/>
  <c r="B7" i="39"/>
  <c r="C7" i="39" s="1"/>
  <c r="B7" i="38"/>
  <c r="C7" i="38" s="1"/>
  <c r="B7" i="36"/>
  <c r="C7" i="36" s="1"/>
  <c r="B6" i="40"/>
  <c r="C6" i="40" s="1"/>
  <c r="B6" i="39"/>
  <c r="C6" i="39" s="1"/>
  <c r="B6" i="38"/>
  <c r="C6" i="38" s="1"/>
  <c r="B6" i="36"/>
  <c r="C6" i="36" s="1"/>
  <c r="B5" i="40"/>
  <c r="C5" i="40" s="1"/>
  <c r="B5" i="39"/>
  <c r="C5" i="39" s="1"/>
  <c r="B5" i="38"/>
  <c r="C5" i="38" s="1"/>
  <c r="B5" i="36"/>
  <c r="C5" i="36" s="1"/>
  <c r="B4" i="40"/>
  <c r="C4" i="40" s="1"/>
  <c r="B4" i="39"/>
  <c r="C4" i="39" s="1"/>
  <c r="B4" i="38"/>
  <c r="C4" i="38" s="1"/>
  <c r="B4" i="36"/>
  <c r="C4" i="36" s="1"/>
  <c r="B5" i="35"/>
  <c r="C5" i="35" s="1"/>
  <c r="B6" i="35"/>
  <c r="C6" i="35" s="1"/>
  <c r="B7" i="35"/>
  <c r="C7" i="35" s="1"/>
  <c r="B8" i="35"/>
  <c r="C8" i="35" s="1"/>
  <c r="B9" i="35"/>
  <c r="C9" i="35" s="1"/>
  <c r="B10" i="35"/>
  <c r="C10" i="35" s="1"/>
  <c r="B11" i="35"/>
  <c r="C11" i="35" s="1"/>
  <c r="B12" i="35"/>
  <c r="C12" i="35" s="1"/>
  <c r="B13" i="35"/>
  <c r="C13" i="35" s="1"/>
  <c r="B14" i="35"/>
  <c r="C14" i="35" s="1"/>
  <c r="B15" i="35"/>
  <c r="C15" i="35" s="1"/>
  <c r="B16" i="35"/>
  <c r="C16" i="35" s="1"/>
  <c r="B17" i="35"/>
  <c r="C17" i="35" s="1"/>
  <c r="B18" i="35"/>
  <c r="B4" i="35"/>
  <c r="C4" i="35" s="1"/>
  <c r="H227" i="19"/>
  <c r="G227" i="19"/>
  <c r="F227" i="19"/>
  <c r="E227" i="19"/>
  <c r="D227" i="19"/>
  <c r="C227" i="19"/>
  <c r="B27" i="24" s="1"/>
  <c r="C27" i="24" s="1"/>
  <c r="H226" i="19"/>
  <c r="G226" i="19"/>
  <c r="F226" i="19"/>
  <c r="E226" i="19"/>
  <c r="D226" i="19"/>
  <c r="C226" i="19"/>
  <c r="B26" i="24" s="1"/>
  <c r="C26" i="24" s="1"/>
  <c r="H225" i="19"/>
  <c r="G225" i="19"/>
  <c r="F225" i="19"/>
  <c r="E225" i="19"/>
  <c r="D225" i="19"/>
  <c r="C225" i="19"/>
  <c r="B25" i="24" s="1"/>
  <c r="C25" i="24" s="1"/>
  <c r="H224" i="19"/>
  <c r="G224" i="19"/>
  <c r="F224" i="19"/>
  <c r="E224" i="19"/>
  <c r="D224" i="19"/>
  <c r="C224" i="19"/>
  <c r="B24" i="24" s="1"/>
  <c r="C24" i="24" s="1"/>
  <c r="H223" i="19"/>
  <c r="G223" i="19"/>
  <c r="F223" i="19"/>
  <c r="E223" i="19"/>
  <c r="D223" i="19"/>
  <c r="C223" i="19"/>
  <c r="B23" i="24" s="1"/>
  <c r="C23" i="24" s="1"/>
  <c r="H222" i="19"/>
  <c r="G222" i="19"/>
  <c r="F222" i="19"/>
  <c r="E222" i="19"/>
  <c r="D222" i="19"/>
  <c r="C222" i="19"/>
  <c r="B22" i="24" s="1"/>
  <c r="C22" i="24" s="1"/>
  <c r="H221" i="19"/>
  <c r="G221" i="19"/>
  <c r="F221" i="19"/>
  <c r="E221" i="19"/>
  <c r="D221" i="19"/>
  <c r="C221" i="19"/>
  <c r="B21" i="24" s="1"/>
  <c r="C21" i="24" s="1"/>
  <c r="H220" i="19"/>
  <c r="G220" i="19"/>
  <c r="F220" i="19"/>
  <c r="E220" i="19"/>
  <c r="D220" i="19"/>
  <c r="C220" i="19"/>
  <c r="B20" i="24" s="1"/>
  <c r="C20" i="24" s="1"/>
  <c r="H219" i="19"/>
  <c r="G219" i="19"/>
  <c r="F219" i="19"/>
  <c r="E219" i="19"/>
  <c r="D219" i="19"/>
  <c r="C219" i="19"/>
  <c r="B19" i="24" s="1"/>
  <c r="C19" i="24" s="1"/>
  <c r="H218" i="19"/>
  <c r="B18" i="30" s="1"/>
  <c r="C18" i="30" s="1"/>
  <c r="G218" i="19"/>
  <c r="B18" i="29" s="1"/>
  <c r="C18" i="29" s="1"/>
  <c r="F218" i="19"/>
  <c r="B18" i="28" s="1"/>
  <c r="C18" i="28" s="1"/>
  <c r="E218" i="19"/>
  <c r="B18" i="27" s="1"/>
  <c r="C18" i="27" s="1"/>
  <c r="D218" i="19"/>
  <c r="B18" i="25" s="1"/>
  <c r="C18" i="25" s="1"/>
  <c r="C218" i="19"/>
  <c r="B18" i="24" s="1"/>
  <c r="C18" i="24" s="1"/>
  <c r="H217" i="19"/>
  <c r="B17" i="30" s="1"/>
  <c r="C17" i="30" s="1"/>
  <c r="G217" i="19"/>
  <c r="B17" i="29" s="1"/>
  <c r="C17" i="29" s="1"/>
  <c r="F217" i="19"/>
  <c r="B17" i="28" s="1"/>
  <c r="C17" i="28" s="1"/>
  <c r="E217" i="19"/>
  <c r="B17" i="27" s="1"/>
  <c r="C17" i="27" s="1"/>
  <c r="D217" i="19"/>
  <c r="B17" i="25" s="1"/>
  <c r="C17" i="25" s="1"/>
  <c r="C217" i="19"/>
  <c r="B17" i="24" s="1"/>
  <c r="C17" i="24" s="1"/>
  <c r="H216" i="19"/>
  <c r="B16" i="30" s="1"/>
  <c r="C16" i="30" s="1"/>
  <c r="G216" i="19"/>
  <c r="B16" i="29" s="1"/>
  <c r="C16" i="29" s="1"/>
  <c r="F216" i="19"/>
  <c r="B16" i="28" s="1"/>
  <c r="C16" i="28" s="1"/>
  <c r="E216" i="19"/>
  <c r="B16" i="27" s="1"/>
  <c r="C16" i="27" s="1"/>
  <c r="D216" i="19"/>
  <c r="B16" i="25" s="1"/>
  <c r="C16" i="25" s="1"/>
  <c r="C216" i="19"/>
  <c r="B16" i="24" s="1"/>
  <c r="C16" i="24" s="1"/>
  <c r="H215" i="19"/>
  <c r="B15" i="30" s="1"/>
  <c r="C15" i="30" s="1"/>
  <c r="G215" i="19"/>
  <c r="B15" i="29" s="1"/>
  <c r="C15" i="29" s="1"/>
  <c r="F215" i="19"/>
  <c r="B15" i="28" s="1"/>
  <c r="C15" i="28" s="1"/>
  <c r="E215" i="19"/>
  <c r="B15" i="27" s="1"/>
  <c r="C15" i="27" s="1"/>
  <c r="D215" i="19"/>
  <c r="B15" i="25" s="1"/>
  <c r="C15" i="25" s="1"/>
  <c r="C215" i="19"/>
  <c r="B15" i="24" s="1"/>
  <c r="C15" i="24" s="1"/>
  <c r="H214" i="19"/>
  <c r="B14" i="30" s="1"/>
  <c r="C14" i="30" s="1"/>
  <c r="G214" i="19"/>
  <c r="B14" i="29" s="1"/>
  <c r="C14" i="29" s="1"/>
  <c r="F214" i="19"/>
  <c r="B14" i="28" s="1"/>
  <c r="C14" i="28" s="1"/>
  <c r="E214" i="19"/>
  <c r="B14" i="27" s="1"/>
  <c r="C14" i="27" s="1"/>
  <c r="D214" i="19"/>
  <c r="B14" i="25" s="1"/>
  <c r="C14" i="25" s="1"/>
  <c r="C214" i="19"/>
  <c r="B14" i="24" s="1"/>
  <c r="C14" i="24" s="1"/>
  <c r="H213" i="19"/>
  <c r="B13" i="30" s="1"/>
  <c r="C13" i="30" s="1"/>
  <c r="G213" i="19"/>
  <c r="B13" i="29" s="1"/>
  <c r="C13" i="29" s="1"/>
  <c r="F213" i="19"/>
  <c r="B13" i="28" s="1"/>
  <c r="C13" i="28" s="1"/>
  <c r="E213" i="19"/>
  <c r="B13" i="27" s="1"/>
  <c r="C13" i="27" s="1"/>
  <c r="D213" i="19"/>
  <c r="B13" i="25" s="1"/>
  <c r="C13" i="25" s="1"/>
  <c r="C213" i="19"/>
  <c r="B13" i="24" s="1"/>
  <c r="C13" i="24" s="1"/>
  <c r="H212" i="19"/>
  <c r="B12" i="30" s="1"/>
  <c r="C12" i="30" s="1"/>
  <c r="G212" i="19"/>
  <c r="B12" i="29" s="1"/>
  <c r="C12" i="29" s="1"/>
  <c r="F212" i="19"/>
  <c r="B12" i="28" s="1"/>
  <c r="C12" i="28" s="1"/>
  <c r="E212" i="19"/>
  <c r="B12" i="27" s="1"/>
  <c r="C12" i="27" s="1"/>
  <c r="D212" i="19"/>
  <c r="B12" i="25" s="1"/>
  <c r="C12" i="25" s="1"/>
  <c r="C212" i="19"/>
  <c r="B12" i="24" s="1"/>
  <c r="C12" i="24" s="1"/>
  <c r="H211" i="19"/>
  <c r="B11" i="30" s="1"/>
  <c r="C11" i="30" s="1"/>
  <c r="G211" i="19"/>
  <c r="B11" i="29" s="1"/>
  <c r="C11" i="29" s="1"/>
  <c r="F211" i="19"/>
  <c r="B11" i="28" s="1"/>
  <c r="C11" i="28" s="1"/>
  <c r="E211" i="19"/>
  <c r="B11" i="27" s="1"/>
  <c r="C11" i="27" s="1"/>
  <c r="D211" i="19"/>
  <c r="B11" i="25" s="1"/>
  <c r="C11" i="25" s="1"/>
  <c r="C211" i="19"/>
  <c r="B11" i="24" s="1"/>
  <c r="C11" i="24" s="1"/>
  <c r="H210" i="19"/>
  <c r="B10" i="30" s="1"/>
  <c r="C10" i="30" s="1"/>
  <c r="G210" i="19"/>
  <c r="B10" i="29" s="1"/>
  <c r="C10" i="29" s="1"/>
  <c r="F210" i="19"/>
  <c r="B10" i="28" s="1"/>
  <c r="C10" i="28" s="1"/>
  <c r="E210" i="19"/>
  <c r="B10" i="27" s="1"/>
  <c r="C10" i="27" s="1"/>
  <c r="D210" i="19"/>
  <c r="B10" i="25" s="1"/>
  <c r="C10" i="25" s="1"/>
  <c r="C210" i="19"/>
  <c r="B10" i="24" s="1"/>
  <c r="C10" i="24" s="1"/>
  <c r="H209" i="19"/>
  <c r="B9" i="30" s="1"/>
  <c r="C9" i="30" s="1"/>
  <c r="G209" i="19"/>
  <c r="B9" i="29" s="1"/>
  <c r="C9" i="29" s="1"/>
  <c r="F209" i="19"/>
  <c r="B9" i="28" s="1"/>
  <c r="C9" i="28" s="1"/>
  <c r="E209" i="19"/>
  <c r="B9" i="27" s="1"/>
  <c r="C9" i="27" s="1"/>
  <c r="D209" i="19"/>
  <c r="B9" i="25" s="1"/>
  <c r="C9" i="25" s="1"/>
  <c r="C209" i="19"/>
  <c r="B9" i="24" s="1"/>
  <c r="C9" i="24" s="1"/>
  <c r="H208" i="19"/>
  <c r="B8" i="30" s="1"/>
  <c r="C8" i="30" s="1"/>
  <c r="G208" i="19"/>
  <c r="B8" i="29" s="1"/>
  <c r="C8" i="29" s="1"/>
  <c r="F208" i="19"/>
  <c r="B8" i="28" s="1"/>
  <c r="C8" i="28" s="1"/>
  <c r="E208" i="19"/>
  <c r="B8" i="27" s="1"/>
  <c r="C8" i="27" s="1"/>
  <c r="D208" i="19"/>
  <c r="B8" i="25" s="1"/>
  <c r="C8" i="25" s="1"/>
  <c r="C208" i="19"/>
  <c r="B8" i="24" s="1"/>
  <c r="C8" i="24" s="1"/>
  <c r="H207" i="19"/>
  <c r="B7" i="30" s="1"/>
  <c r="C7" i="30" s="1"/>
  <c r="G207" i="19"/>
  <c r="B7" i="29" s="1"/>
  <c r="C7" i="29" s="1"/>
  <c r="F207" i="19"/>
  <c r="B7" i="28" s="1"/>
  <c r="C7" i="28" s="1"/>
  <c r="E207" i="19"/>
  <c r="B7" i="27" s="1"/>
  <c r="C7" i="27" s="1"/>
  <c r="D207" i="19"/>
  <c r="B7" i="25" s="1"/>
  <c r="C7" i="25" s="1"/>
  <c r="C207" i="19"/>
  <c r="B7" i="24" s="1"/>
  <c r="C7" i="24" s="1"/>
  <c r="H206" i="19"/>
  <c r="B6" i="30" s="1"/>
  <c r="C6" i="30" s="1"/>
  <c r="G206" i="19"/>
  <c r="B6" i="29" s="1"/>
  <c r="C6" i="29" s="1"/>
  <c r="F206" i="19"/>
  <c r="B6" i="28" s="1"/>
  <c r="C6" i="28" s="1"/>
  <c r="E206" i="19"/>
  <c r="B6" i="27" s="1"/>
  <c r="C6" i="27" s="1"/>
  <c r="D206" i="19"/>
  <c r="B6" i="25" s="1"/>
  <c r="C6" i="25" s="1"/>
  <c r="C206" i="19"/>
  <c r="B6" i="24" s="1"/>
  <c r="C6" i="24" s="1"/>
  <c r="H205" i="19"/>
  <c r="B5" i="30" s="1"/>
  <c r="C5" i="30" s="1"/>
  <c r="G205" i="19"/>
  <c r="B5" i="29" s="1"/>
  <c r="C5" i="29" s="1"/>
  <c r="F205" i="19"/>
  <c r="B5" i="28" s="1"/>
  <c r="C5" i="28" s="1"/>
  <c r="E205" i="19"/>
  <c r="B5" i="27" s="1"/>
  <c r="C5" i="27" s="1"/>
  <c r="D205" i="19"/>
  <c r="B5" i="25" s="1"/>
  <c r="C5" i="25" s="1"/>
  <c r="C205" i="19"/>
  <c r="B5" i="24" s="1"/>
  <c r="C5" i="24" s="1"/>
  <c r="H204" i="19"/>
  <c r="B4" i="30" s="1"/>
  <c r="C4" i="30" s="1"/>
  <c r="G204" i="19"/>
  <c r="B4" i="29" s="1"/>
  <c r="C4" i="29" s="1"/>
  <c r="F204" i="19"/>
  <c r="B4" i="28" s="1"/>
  <c r="C4" i="28" s="1"/>
  <c r="E204" i="19"/>
  <c r="B4" i="27" s="1"/>
  <c r="C4" i="27" s="1"/>
  <c r="D204" i="19"/>
  <c r="B4" i="25" s="1"/>
  <c r="C4" i="25" s="1"/>
  <c r="C204" i="19"/>
  <c r="B4" i="24" s="1"/>
  <c r="C4" i="24" s="1"/>
  <c r="F227" i="18"/>
  <c r="E227" i="18"/>
  <c r="D227" i="18"/>
  <c r="F226" i="18"/>
  <c r="E226" i="18"/>
  <c r="D226" i="18"/>
  <c r="F225" i="18"/>
  <c r="E225" i="18"/>
  <c r="F224" i="18"/>
  <c r="E224" i="18"/>
  <c r="F223" i="18"/>
  <c r="E223" i="18"/>
  <c r="F222" i="18"/>
  <c r="E222" i="18"/>
  <c r="F221" i="18"/>
  <c r="E221" i="18"/>
  <c r="F220" i="18"/>
  <c r="E220" i="18"/>
  <c r="F219" i="18"/>
  <c r="E219" i="18"/>
  <c r="B18" i="34"/>
  <c r="C18" i="34" s="1"/>
  <c r="B18" i="33"/>
  <c r="C18" i="33" s="1"/>
  <c r="B18" i="32"/>
  <c r="C18" i="32" s="1"/>
  <c r="B18" i="31"/>
  <c r="C18" i="31" s="1"/>
  <c r="B17" i="34"/>
  <c r="C17" i="34" s="1"/>
  <c r="B17" i="33"/>
  <c r="C17" i="33" s="1"/>
  <c r="B17" i="32"/>
  <c r="C17" i="32" s="1"/>
  <c r="B17" i="31"/>
  <c r="C17" i="31" s="1"/>
  <c r="B16" i="34"/>
  <c r="C16" i="34" s="1"/>
  <c r="B16" i="33"/>
  <c r="C16" i="33" s="1"/>
  <c r="B16" i="32"/>
  <c r="C16" i="32" s="1"/>
  <c r="B16" i="31"/>
  <c r="C16" i="31" s="1"/>
  <c r="B15" i="34"/>
  <c r="C15" i="34" s="1"/>
  <c r="B15" i="33"/>
  <c r="C15" i="33" s="1"/>
  <c r="B15" i="32"/>
  <c r="C15" i="32" s="1"/>
  <c r="B15" i="31"/>
  <c r="C15" i="31" s="1"/>
  <c r="B14" i="34"/>
  <c r="C14" i="34" s="1"/>
  <c r="B14" i="33"/>
  <c r="C14" i="33" s="1"/>
  <c r="B14" i="32"/>
  <c r="C14" i="32" s="1"/>
  <c r="B14" i="31"/>
  <c r="C14" i="31" s="1"/>
  <c r="B13" i="34"/>
  <c r="C13" i="34" s="1"/>
  <c r="B13" i="33"/>
  <c r="C13" i="33" s="1"/>
  <c r="B13" i="32"/>
  <c r="C13" i="32" s="1"/>
  <c r="B13" i="31"/>
  <c r="C13" i="31" s="1"/>
  <c r="B12" i="34"/>
  <c r="C12" i="34" s="1"/>
  <c r="B12" i="33"/>
  <c r="C12" i="33" s="1"/>
  <c r="B12" i="32"/>
  <c r="C12" i="32" s="1"/>
  <c r="B12" i="31"/>
  <c r="C12" i="31" s="1"/>
  <c r="B11" i="34"/>
  <c r="C11" i="34" s="1"/>
  <c r="B11" i="33"/>
  <c r="C11" i="33" s="1"/>
  <c r="B11" i="32"/>
  <c r="C11" i="32" s="1"/>
  <c r="B11" i="31"/>
  <c r="C11" i="31" s="1"/>
  <c r="B10" i="34"/>
  <c r="C10" i="34" s="1"/>
  <c r="B10" i="33"/>
  <c r="C10" i="33" s="1"/>
  <c r="B10" i="32"/>
  <c r="C10" i="32" s="1"/>
  <c r="B10" i="31"/>
  <c r="C10" i="31" s="1"/>
  <c r="B9" i="34"/>
  <c r="C9" i="34" s="1"/>
  <c r="B9" i="33"/>
  <c r="C9" i="33" s="1"/>
  <c r="B9" i="32"/>
  <c r="C9" i="32" s="1"/>
  <c r="B9" i="31"/>
  <c r="C9" i="31" s="1"/>
  <c r="B8" i="34"/>
  <c r="C8" i="34" s="1"/>
  <c r="B8" i="33"/>
  <c r="C8" i="33" s="1"/>
  <c r="B8" i="32"/>
  <c r="C8" i="32" s="1"/>
  <c r="B8" i="31"/>
  <c r="C8" i="31" s="1"/>
  <c r="B7" i="34"/>
  <c r="C7" i="34" s="1"/>
  <c r="B7" i="33"/>
  <c r="C7" i="33" s="1"/>
  <c r="B7" i="32"/>
  <c r="C7" i="32" s="1"/>
  <c r="B7" i="31"/>
  <c r="C7" i="31" s="1"/>
  <c r="B6" i="34"/>
  <c r="C6" i="34" s="1"/>
  <c r="B6" i="33"/>
  <c r="C6" i="33" s="1"/>
  <c r="B6" i="32"/>
  <c r="C6" i="32" s="1"/>
  <c r="B6" i="31"/>
  <c r="C6" i="31" s="1"/>
  <c r="B5" i="34"/>
  <c r="C5" i="34" s="1"/>
  <c r="B5" i="33"/>
  <c r="C5" i="33" s="1"/>
  <c r="B5" i="32"/>
  <c r="C5" i="32" s="1"/>
  <c r="B5" i="31"/>
  <c r="C5" i="31" s="1"/>
  <c r="B4" i="34"/>
  <c r="C4" i="34" s="1"/>
  <c r="B4" i="33"/>
  <c r="C4" i="33" s="1"/>
  <c r="B4" i="32"/>
  <c r="C4" i="32" s="1"/>
  <c r="B4" i="31"/>
  <c r="C4" i="31" s="1"/>
  <c r="B5" i="15"/>
  <c r="C5" i="15" s="1"/>
  <c r="B5" i="16"/>
  <c r="C5" i="16" s="1"/>
  <c r="B5" i="17"/>
  <c r="C5" i="17" s="1"/>
  <c r="B6" i="15"/>
  <c r="C6" i="15" s="1"/>
  <c r="B6" i="16"/>
  <c r="C6" i="16" s="1"/>
  <c r="B6" i="17"/>
  <c r="C6" i="17" s="1"/>
  <c r="B7" i="15"/>
  <c r="C7" i="15" s="1"/>
  <c r="B7" i="16"/>
  <c r="C7" i="16" s="1"/>
  <c r="B7" i="17"/>
  <c r="C7" i="17" s="1"/>
  <c r="B8" i="15"/>
  <c r="C8" i="15" s="1"/>
  <c r="B8" i="16"/>
  <c r="C8" i="16" s="1"/>
  <c r="B8" i="17"/>
  <c r="C8" i="17" s="1"/>
  <c r="B9" i="15"/>
  <c r="C9" i="15" s="1"/>
  <c r="B9" i="16"/>
  <c r="C9" i="16" s="1"/>
  <c r="B9" i="17"/>
  <c r="C9" i="17" s="1"/>
  <c r="B10" i="15"/>
  <c r="C10" i="15" s="1"/>
  <c r="B10" i="16"/>
  <c r="C10" i="16" s="1"/>
  <c r="B10" i="17"/>
  <c r="C10" i="17" s="1"/>
  <c r="B11" i="15"/>
  <c r="C11" i="15" s="1"/>
  <c r="B11" i="16"/>
  <c r="C11" i="16" s="1"/>
  <c r="B11" i="17"/>
  <c r="C11" i="17" s="1"/>
  <c r="B12" i="15"/>
  <c r="C12" i="15" s="1"/>
  <c r="B12" i="16"/>
  <c r="C12" i="16" s="1"/>
  <c r="B12" i="17"/>
  <c r="C12" i="17" s="1"/>
  <c r="B13" i="15"/>
  <c r="C13" i="15" s="1"/>
  <c r="B13" i="16"/>
  <c r="C13" i="16" s="1"/>
  <c r="B13" i="17"/>
  <c r="C13" i="17" s="1"/>
  <c r="B14" i="15"/>
  <c r="C14" i="15" s="1"/>
  <c r="B14" i="16"/>
  <c r="C14" i="16" s="1"/>
  <c r="B14" i="17"/>
  <c r="C14" i="17" s="1"/>
  <c r="B15" i="15"/>
  <c r="C15" i="15" s="1"/>
  <c r="B15" i="16"/>
  <c r="C15" i="16" s="1"/>
  <c r="B15" i="17"/>
  <c r="C15" i="17" s="1"/>
  <c r="B16" i="15"/>
  <c r="C16" i="15" s="1"/>
  <c r="B16" i="16"/>
  <c r="C16" i="16" s="1"/>
  <c r="B16" i="17"/>
  <c r="C16" i="17" s="1"/>
  <c r="B17" i="15"/>
  <c r="C17" i="15" s="1"/>
  <c r="B17" i="16"/>
  <c r="C17" i="16" s="1"/>
  <c r="B17" i="17"/>
  <c r="C17" i="17" s="1"/>
  <c r="B18" i="15"/>
  <c r="C18" i="15" s="1"/>
  <c r="B18" i="16"/>
  <c r="C18" i="16" s="1"/>
  <c r="B18" i="17"/>
  <c r="C18" i="17" s="1"/>
  <c r="B19" i="15"/>
  <c r="C19" i="15" s="1"/>
  <c r="B19" i="16"/>
  <c r="C19" i="16" s="1"/>
  <c r="B19" i="17"/>
  <c r="C19" i="17" s="1"/>
  <c r="O228" i="1"/>
  <c r="B25" i="17" s="1"/>
  <c r="C25" i="17" s="1"/>
  <c r="N229" i="1"/>
  <c r="B26" i="16" s="1"/>
  <c r="C26" i="16" s="1"/>
  <c r="O229" i="1"/>
  <c r="B26" i="17" s="1"/>
  <c r="C26" i="17" s="1"/>
  <c r="B5" i="13"/>
  <c r="C5" i="13" s="1"/>
  <c r="B6" i="13"/>
  <c r="C6" i="13" s="1"/>
  <c r="B7" i="13"/>
  <c r="C7" i="13" s="1"/>
  <c r="B8" i="13"/>
  <c r="C8" i="13" s="1"/>
  <c r="B9" i="13"/>
  <c r="C9" i="13" s="1"/>
  <c r="B10" i="13"/>
  <c r="C10" i="13" s="1"/>
  <c r="B11" i="13"/>
  <c r="C11" i="13" s="1"/>
  <c r="B12" i="13"/>
  <c r="C12" i="13" s="1"/>
  <c r="B13" i="13"/>
  <c r="C13" i="13" s="1"/>
  <c r="B14" i="13"/>
  <c r="C14" i="13" s="1"/>
  <c r="B15" i="13"/>
  <c r="C15" i="13" s="1"/>
  <c r="B16" i="13"/>
  <c r="C16" i="13" s="1"/>
  <c r="B17" i="13"/>
  <c r="C17" i="13" s="1"/>
  <c r="B18" i="13"/>
  <c r="C18" i="13" s="1"/>
  <c r="B19" i="13"/>
  <c r="C19" i="13" s="1"/>
  <c r="L229" i="1"/>
  <c r="B26" i="13" s="1"/>
  <c r="C26" i="13" s="1"/>
  <c r="B5" i="12"/>
  <c r="C5" i="12" s="1"/>
  <c r="B6" i="12"/>
  <c r="C6" i="12" s="1"/>
  <c r="B7" i="12"/>
  <c r="C7" i="12" s="1"/>
  <c r="B8" i="12"/>
  <c r="C8" i="12" s="1"/>
  <c r="B9" i="12"/>
  <c r="C9" i="12" s="1"/>
  <c r="B10" i="12"/>
  <c r="C10" i="12" s="1"/>
  <c r="B11" i="12"/>
  <c r="C11" i="12" s="1"/>
  <c r="B12" i="12"/>
  <c r="C12" i="12" s="1"/>
  <c r="B13" i="12"/>
  <c r="C13" i="12" s="1"/>
  <c r="B14" i="12"/>
  <c r="C14" i="12" s="1"/>
  <c r="B15" i="12"/>
  <c r="C15" i="12" s="1"/>
  <c r="B16" i="12"/>
  <c r="C16" i="12" s="1"/>
  <c r="B17" i="12"/>
  <c r="C17" i="12" s="1"/>
  <c r="B18" i="12"/>
  <c r="C18" i="12" s="1"/>
  <c r="K229" i="1"/>
  <c r="B5" i="11"/>
  <c r="C5" i="11" s="1"/>
  <c r="B6" i="11"/>
  <c r="C6" i="11" s="1"/>
  <c r="B7" i="11"/>
  <c r="C7" i="11" s="1"/>
  <c r="B8" i="11"/>
  <c r="C8" i="11" s="1"/>
  <c r="B9" i="11"/>
  <c r="C9" i="11" s="1"/>
  <c r="B10" i="11"/>
  <c r="C10" i="11" s="1"/>
  <c r="B11" i="11"/>
  <c r="C11" i="11" s="1"/>
  <c r="B12" i="11"/>
  <c r="C12" i="11" s="1"/>
  <c r="B13" i="11"/>
  <c r="C13" i="11" s="1"/>
  <c r="B14" i="11"/>
  <c r="C14" i="11" s="1"/>
  <c r="B15" i="11"/>
  <c r="C15" i="11" s="1"/>
  <c r="B16" i="11"/>
  <c r="C16" i="11" s="1"/>
  <c r="B17" i="11"/>
  <c r="C17" i="11" s="1"/>
  <c r="B18" i="11"/>
  <c r="C18" i="11" s="1"/>
  <c r="B19" i="11"/>
  <c r="C19" i="11" s="1"/>
  <c r="J229" i="1"/>
  <c r="B5" i="10"/>
  <c r="C5" i="10" s="1"/>
  <c r="B6" i="10"/>
  <c r="C6" i="10" s="1"/>
  <c r="B7" i="10"/>
  <c r="C7" i="10" s="1"/>
  <c r="B8" i="10"/>
  <c r="C8" i="10" s="1"/>
  <c r="B9" i="10"/>
  <c r="C9" i="10" s="1"/>
  <c r="B10" i="10"/>
  <c r="C10" i="10" s="1"/>
  <c r="B11" i="10"/>
  <c r="C11" i="10" s="1"/>
  <c r="B12" i="10"/>
  <c r="C12" i="10" s="1"/>
  <c r="B13" i="10"/>
  <c r="C13" i="10" s="1"/>
  <c r="B14" i="10"/>
  <c r="C14" i="10" s="1"/>
  <c r="B15" i="10"/>
  <c r="C15" i="10" s="1"/>
  <c r="B16" i="10"/>
  <c r="C16" i="10" s="1"/>
  <c r="B17" i="10"/>
  <c r="C17" i="10" s="1"/>
  <c r="B18" i="10"/>
  <c r="C18" i="10" s="1"/>
  <c r="B19" i="10"/>
  <c r="C19" i="10" s="1"/>
  <c r="I229" i="1"/>
  <c r="B4" i="17"/>
  <c r="C4" i="17" s="1"/>
  <c r="B4" i="16"/>
  <c r="C4" i="16" s="1"/>
  <c r="B4" i="15"/>
  <c r="C4" i="15" s="1"/>
  <c r="B4" i="13"/>
  <c r="C4" i="13" s="1"/>
  <c r="B4" i="12"/>
  <c r="C4" i="12" s="1"/>
  <c r="B4" i="11"/>
  <c r="C4" i="11" s="1"/>
  <c r="B4" i="10"/>
  <c r="C4" i="10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H228" i="1"/>
  <c r="B25" i="9" s="1"/>
  <c r="C25" i="9" s="1"/>
  <c r="H229" i="1"/>
  <c r="B26" i="9" s="1"/>
  <c r="C26" i="9" s="1"/>
  <c r="B5" i="8"/>
  <c r="C5" i="8" s="1"/>
  <c r="B6" i="8"/>
  <c r="C6" i="8" s="1"/>
  <c r="B7" i="8"/>
  <c r="C7" i="8" s="1"/>
  <c r="B8" i="8"/>
  <c r="C8" i="8" s="1"/>
  <c r="B9" i="8"/>
  <c r="C9" i="8" s="1"/>
  <c r="B10" i="8"/>
  <c r="C10" i="8" s="1"/>
  <c r="B11" i="8"/>
  <c r="C11" i="8" s="1"/>
  <c r="B12" i="8"/>
  <c r="C12" i="8" s="1"/>
  <c r="B13" i="8"/>
  <c r="C13" i="8" s="1"/>
  <c r="B14" i="8"/>
  <c r="C14" i="8" s="1"/>
  <c r="B15" i="8"/>
  <c r="C15" i="8" s="1"/>
  <c r="B16" i="8"/>
  <c r="C16" i="8" s="1"/>
  <c r="B17" i="8"/>
  <c r="C17" i="8" s="1"/>
  <c r="B18" i="8"/>
  <c r="C18" i="8" s="1"/>
  <c r="B19" i="8"/>
  <c r="C19" i="8" s="1"/>
  <c r="G228" i="1"/>
  <c r="G229" i="1"/>
  <c r="B4" i="9"/>
  <c r="C4" i="9" s="1"/>
  <c r="B4" i="8"/>
  <c r="C4" i="8" s="1"/>
  <c r="B5" i="7"/>
  <c r="C5" i="7" s="1"/>
  <c r="B6" i="7"/>
  <c r="C6" i="7" s="1"/>
  <c r="B7" i="7"/>
  <c r="C7" i="7" s="1"/>
  <c r="B8" i="7"/>
  <c r="C8" i="7" s="1"/>
  <c r="B9" i="7"/>
  <c r="C9" i="7" s="1"/>
  <c r="B10" i="7"/>
  <c r="C10" i="7" s="1"/>
  <c r="B11" i="7"/>
  <c r="C11" i="7" s="1"/>
  <c r="B12" i="7"/>
  <c r="C12" i="7" s="1"/>
  <c r="B13" i="7"/>
  <c r="C13" i="7" s="1"/>
  <c r="B14" i="7"/>
  <c r="C14" i="7" s="1"/>
  <c r="B15" i="7"/>
  <c r="C15" i="7" s="1"/>
  <c r="B16" i="7"/>
  <c r="C16" i="7" s="1"/>
  <c r="B17" i="7"/>
  <c r="C17" i="7" s="1"/>
  <c r="B18" i="7"/>
  <c r="C18" i="7" s="1"/>
  <c r="B19" i="7"/>
  <c r="C19" i="7" s="1"/>
  <c r="F229" i="1"/>
  <c r="B26" i="7" s="1"/>
  <c r="C26" i="7" s="1"/>
  <c r="B4" i="7"/>
  <c r="C4" i="7" s="1"/>
  <c r="B4" i="2"/>
  <c r="C4" i="2" s="1"/>
  <c r="C229" i="1"/>
  <c r="B26" i="2" s="1"/>
  <c r="C26" i="2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4" i="5"/>
  <c r="C4" i="5" s="1"/>
  <c r="B5" i="6"/>
  <c r="C5" i="6" s="1"/>
  <c r="B6" i="6"/>
  <c r="C6" i="6" s="1"/>
  <c r="B7" i="6"/>
  <c r="C7" i="6" s="1"/>
  <c r="B8" i="6"/>
  <c r="C8" i="6" s="1"/>
  <c r="B9" i="6"/>
  <c r="C9" i="6" s="1"/>
  <c r="B10" i="6"/>
  <c r="C10" i="6" s="1"/>
  <c r="B11" i="6"/>
  <c r="C11" i="6" s="1"/>
  <c r="B12" i="6"/>
  <c r="C12" i="6" s="1"/>
  <c r="B13" i="6"/>
  <c r="C13" i="6" s="1"/>
  <c r="B14" i="6"/>
  <c r="C14" i="6" s="1"/>
  <c r="B15" i="6"/>
  <c r="C15" i="6" s="1"/>
  <c r="B16" i="6"/>
  <c r="C16" i="6" s="1"/>
  <c r="B17" i="6"/>
  <c r="C17" i="6" s="1"/>
  <c r="B18" i="6"/>
  <c r="C18" i="6" s="1"/>
  <c r="B19" i="6"/>
  <c r="C19" i="6" s="1"/>
  <c r="E227" i="1"/>
  <c r="B24" i="6" s="1"/>
  <c r="C24" i="6" s="1"/>
  <c r="E228" i="1"/>
  <c r="B25" i="6" s="1"/>
  <c r="C25" i="6" s="1"/>
  <c r="E229" i="1"/>
  <c r="B26" i="6" s="1"/>
  <c r="C26" i="6" s="1"/>
  <c r="B4" i="6"/>
  <c r="C4" i="6" s="1"/>
  <c r="C19" i="33" l="1"/>
  <c r="C19" i="31"/>
  <c r="C19" i="34"/>
  <c r="C19" i="30"/>
  <c r="C29" i="24"/>
  <c r="C19" i="39"/>
  <c r="C19" i="29"/>
  <c r="C19" i="28"/>
  <c r="C19" i="27"/>
  <c r="C19" i="25"/>
  <c r="C29" i="13"/>
  <c r="C19" i="12"/>
  <c r="C22" i="10"/>
  <c r="C29" i="5"/>
  <c r="C19" i="44"/>
  <c r="C19" i="45"/>
  <c r="C19" i="42"/>
  <c r="C19" i="43"/>
  <c r="C19" i="41"/>
  <c r="C19" i="40"/>
  <c r="C19" i="36"/>
  <c r="C19" i="38"/>
  <c r="C19" i="32"/>
  <c r="C29" i="17"/>
  <c r="C29" i="16"/>
  <c r="C29" i="15"/>
  <c r="C21" i="11"/>
  <c r="C29" i="9"/>
  <c r="C20" i="8"/>
  <c r="C29" i="7"/>
  <c r="C29" i="6"/>
  <c r="B15" i="2"/>
  <c r="C15" i="2" s="1"/>
  <c r="B16" i="2"/>
  <c r="C16" i="2" s="1"/>
  <c r="B17" i="2"/>
  <c r="C17" i="2" s="1"/>
  <c r="B18" i="2"/>
  <c r="C18" i="2" s="1"/>
  <c r="B19" i="2"/>
  <c r="C19" i="2" s="1"/>
  <c r="B14" i="2" l="1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C29" i="2" l="1"/>
</calcChain>
</file>

<file path=xl/sharedStrings.xml><?xml version="1.0" encoding="utf-8"?>
<sst xmlns="http://schemas.openxmlformats.org/spreadsheetml/2006/main" count="965" uniqueCount="113">
  <si>
    <t>N ORDINE</t>
  </si>
  <si>
    <t>TOTALE</t>
  </si>
  <si>
    <t>X 1</t>
  </si>
  <si>
    <t>X 2</t>
  </si>
  <si>
    <t>X 3</t>
  </si>
  <si>
    <t>X 4</t>
  </si>
  <si>
    <t>X 5</t>
  </si>
  <si>
    <t>X 6</t>
  </si>
  <si>
    <t>X 7</t>
  </si>
  <si>
    <t>X 8</t>
  </si>
  <si>
    <t>X 9</t>
  </si>
  <si>
    <t>X 10</t>
  </si>
  <si>
    <t>X 11</t>
  </si>
  <si>
    <t>X 12</t>
  </si>
  <si>
    <t>X 13</t>
  </si>
  <si>
    <t>X 14</t>
  </si>
  <si>
    <t>X 15</t>
  </si>
  <si>
    <t>X 16</t>
  </si>
  <si>
    <t>ANTIPASTI</t>
  </si>
  <si>
    <t>GASTRONOMIA NATALE 2023</t>
  </si>
  <si>
    <t>SALMONE MARINATO    (N. PORZIONI)</t>
  </si>
  <si>
    <t>POLPO MEDITERRANEA (N. PORZIONI)</t>
  </si>
  <si>
    <t>POLPO E PATATE (N. PORZIONI)</t>
  </si>
  <si>
    <t>INSALATA DI MARE (N. PORZIONI)</t>
  </si>
  <si>
    <t>COCKTAIL GAMBERI          (N. PORZIONI)</t>
  </si>
  <si>
    <t>FLAN CAPESANTE (N. PEZZI)</t>
  </si>
  <si>
    <t>POLENTA E MOSCARDINI (N. PEZZI)</t>
  </si>
  <si>
    <t>ARAGOSTA IN BELLAVISTA       (N.MEZZA)</t>
  </si>
  <si>
    <t>SALMONE MARINATO (DIVISIONE IN PORZIONI)</t>
  </si>
  <si>
    <t>X</t>
  </si>
  <si>
    <t>POLPO E PATATE (DIVISIONE IN PORZIONI)</t>
  </si>
  <si>
    <t>POLPO ALLA MEDITERRANEA (DIVISIONE IN PORZIONI)</t>
  </si>
  <si>
    <t>INSALATA DI MARE (DIVISIONE IN PORZIONI)</t>
  </si>
  <si>
    <t>INSALATA RUSSA CON GAMBERI                           (DIVISIONE IN PORZIONI)</t>
  </si>
  <si>
    <t>COCKTAIL DI GAMBERI                        (DIVISIONE IN PORZIONI)</t>
  </si>
  <si>
    <t>GAMBERI ALLA CATALANA                      (DIVISIONE IN PORZIONI)</t>
  </si>
  <si>
    <t>FLAN CAPESANTE CON ZUCCHINE                      (DIVISIONE IN PORZIONI)</t>
  </si>
  <si>
    <t>BRIOCHE CON SALMONE                     (DIVISIONE IN PEZZI)</t>
  </si>
  <si>
    <t>SFORMATINO DI POLENTA CON MOSCARDINI IN UMIDO                    (DIVISIONE IN PEZZI)</t>
  </si>
  <si>
    <t>LASAGNA MAZZANCOLLE, RADICCHIO E SCAMORZA     (N. VASCHETTE)</t>
  </si>
  <si>
    <t>CRESPELLE GAMBERI E ZUCCHINE             (N. VASCHETTE)</t>
  </si>
  <si>
    <t>CRUDI</t>
  </si>
  <si>
    <t>TARTARE TONNO 120 GR (N. PEZZI)</t>
  </si>
  <si>
    <t>TARTARE SALMONE 120GR (N. PEZZI)</t>
  </si>
  <si>
    <t>TARTARE ORATA 120 GR (N. PEZZI)</t>
  </si>
  <si>
    <t>TARTARE BRANZINO 120 GR (N. PEZZI)</t>
  </si>
  <si>
    <t>SELEZIONE TARTARE            (N. PIATTI)</t>
  </si>
  <si>
    <t>PRIMI E PRONTI A CUOCERE</t>
  </si>
  <si>
    <t>CAPASANTA GRATINATA     (N. PEZZI)</t>
  </si>
  <si>
    <t>SUGHI PRONTI</t>
  </si>
  <si>
    <t>SUGO ASTICE MEZZO         (N. PORZIONI)</t>
  </si>
  <si>
    <t>RAGU' DI GALLINELLA    (N. PORZIONI)</t>
  </si>
  <si>
    <t>PESTO PISTACCHI   E GAMBERI          (N. PORZIONI)</t>
  </si>
  <si>
    <t>SUGO ALLA PESCATORA         (N. PORZIONI)</t>
  </si>
  <si>
    <t>SECONDI PIATTI</t>
  </si>
  <si>
    <t>ORATA IN CROSTA (N. PEZZI)</t>
  </si>
  <si>
    <t>PIATTO MISTO TARTARE                    (DIVISIONE IN PIATTI)</t>
  </si>
  <si>
    <t>TARTARE TONNO 120 GR                  (DIVISIONE IN PEZZI)</t>
  </si>
  <si>
    <t>TARTARE SALMONE 120 GR                  (DIVISIONE IN PEZZI)</t>
  </si>
  <si>
    <t>TARTARE ORATA 120 GR                  (DIVISIONE IN PEZZI)</t>
  </si>
  <si>
    <t>TARTARE BRANZINO 120 GR                  (DIVISIONE IN PEZZI)</t>
  </si>
  <si>
    <t>LASAGNA MAZZANCOLLE, RADICCHIO E SCAMORZA                                                             (DIVISIONE IN VASCHETTE)</t>
  </si>
  <si>
    <t>CRESPELLE GAMBERI E ZUCCHINE                                                             (DIVISIONE IN VASCHETTE)</t>
  </si>
  <si>
    <t>CAPESANTE GRATINATE                                                          (DIVISIONE IN PEZZI)</t>
  </si>
  <si>
    <t>SUGO ALL'ASTICE MEZZO                                                          (DIVISIONE IN PORZIONI)</t>
  </si>
  <si>
    <t>RAGU' DI GALLINELLA                                                          (DIVISIONE IN PORZIONI)</t>
  </si>
  <si>
    <t>PESTO PISTACCHI E GAMBERI                                                          (DIVISIONE IN PORZIONI)</t>
  </si>
  <si>
    <t>SUGO ALLA PESCATORA                                                          (DIVISIONE IN PORZIONI)</t>
  </si>
  <si>
    <t>ORATA IN CROSTA DI PATATE AL TIMO                                                          (DIVISIONE IN PORZIONI)</t>
  </si>
  <si>
    <t>POLIPETTI IN UMIDO                      (DIVISIONE IN PORZIONI)</t>
  </si>
  <si>
    <t>RAGU' DI MARE                                (DIVISIONE IN PORZIONI)</t>
  </si>
  <si>
    <t>TONNO TONNATO                                                        (DIVISIONE IN PORZIONI)</t>
  </si>
  <si>
    <t>MAREMIO CARPACCI x 1(N VASCHETTE)</t>
  </si>
  <si>
    <t>X 17</t>
  </si>
  <si>
    <t>X 18</t>
  </si>
  <si>
    <t>X 19</t>
  </si>
  <si>
    <t>X 20</t>
  </si>
  <si>
    <t>X 21</t>
  </si>
  <si>
    <t>X 22</t>
  </si>
  <si>
    <t>X 23</t>
  </si>
  <si>
    <t>X 24</t>
  </si>
  <si>
    <t>X 25</t>
  </si>
  <si>
    <t>EXTRA X EMERGENZA</t>
  </si>
  <si>
    <t>INSALATA RUSSA CON GAMBERI                    (N. PORZIONI)</t>
  </si>
  <si>
    <t>INSALATA BACCALA'       (N. PORZIONI)</t>
  </si>
  <si>
    <t>GAMBERI ALLA CATALANA              (N. PORZIONI)</t>
  </si>
  <si>
    <t>BRIOCHE SALMONE   (N. PEZZI)</t>
  </si>
  <si>
    <t>GAMBERI PASTA KATAIFI       (N.PEZZI)</t>
  </si>
  <si>
    <t>PANETTONE GASTRO      (N. PEZZI)</t>
  </si>
  <si>
    <t>LASAGNA BRANZINO E CARCIOFI              (N. VASCHETTE)</t>
  </si>
  <si>
    <t>CANNELLONI SALMONE E RICOTTA               (N. VASCHETTE)</t>
  </si>
  <si>
    <t>SPIEDINI BRANZINO GRATINATI                 (N. PEZZI)</t>
  </si>
  <si>
    <t>BACCALA' FRITTO     (N. PORZIONI)</t>
  </si>
  <si>
    <t>BRANZINO IN CROSTA                   (N. PEZZI)</t>
  </si>
  <si>
    <t>SALMONE AL LIMONE                  (N. PEZZI)</t>
  </si>
  <si>
    <t>INSALATA BACCALA', CARCIOFINI, SEDANO E CECI                                                      (DIVISIONE IN PORZIONI)</t>
  </si>
  <si>
    <t>GAMBERI IN PASTA KATAIFI                    (DIVISIONE IN PEZZI)</t>
  </si>
  <si>
    <t>PANETTONE GASTRONOMICO                  (DIVISIONE IN PEZZI)</t>
  </si>
  <si>
    <t>ARAGOSTA IN BELLAVISTA - MEZZA                  (DIVISIONE IN PEZZI)</t>
  </si>
  <si>
    <t>MAREMIO CARPACCI X 1                   (DIVISIONE IN PIATTI)</t>
  </si>
  <si>
    <t>LASAGNA BRANZINO E CARCIOFI                                                            (DIVISIONE IN VASCHETTE)</t>
  </si>
  <si>
    <t>CANNELLONI SALMONE E RICOTTA                                                         (DIVISIONE IN VASCHETTE)</t>
  </si>
  <si>
    <t>SPIEDINI DI BRANZINO CON GAMBERI GRATINATI                                                          (DIVISIONE IN PORZIONI)</t>
  </si>
  <si>
    <t>BACCALA' FRITTO                                                         (DIVISIONE IN PORZIONI)</t>
  </si>
  <si>
    <t>FILETTO DI BRANZINO IN CROSTA DI PISTACCHI E ZENZERO                                                         (DIVISIONE IN PORZIONI)</t>
  </si>
  <si>
    <t>SALMONE PROFUMATO AL LIMONE E TIMO                                                             (DIVISIONE IN PORZIONI)</t>
  </si>
  <si>
    <t>ORDINI</t>
  </si>
  <si>
    <t>QUANTITA'</t>
  </si>
  <si>
    <t>CARPACCIO TONNO 100GR</t>
  </si>
  <si>
    <t>LASAGNE RAGU' DI MARE (N. VASCHETTE)</t>
  </si>
  <si>
    <t>CAPASANTA CARPACCIO</t>
  </si>
  <si>
    <t>MOSCARDINI UMIDO</t>
  </si>
  <si>
    <t>MAREMIO CARPACCI X1 NO CROSTACEI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</si>
</sst>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quotePrefix="1" applyFill="1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8" xfId="0" applyBorder="1"/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9"/>
  <sheetViews>
    <sheetView topLeftCell="A2" zoomScale="75" zoomScaleNormal="75" workbookViewId="0">
      <pane xSplit="1" ySplit="2" topLeftCell="B170" activePane="bottomRight" state="frozen"/>
      <selection activeCell="A2" sqref="A2"/>
      <selection pane="topRight" activeCell="B2" sqref="B2"/>
      <selection pane="bottomLeft" activeCell="A4" sqref="A4"/>
      <selection pane="bottomRight" activeCell="C205" sqref="C205"/>
    </sheetView>
  </sheetViews>
  <sheetFormatPr defaultRowHeight="14.5" x14ac:dyDescent="0.35"/>
  <cols>
    <col min="2" max="2" width="10.453125" customWidth="1"/>
    <col min="3" max="3" width="20.54296875" bestFit="1" customWidth="1"/>
    <col min="4" max="4" width="20.36328125" bestFit="1" customWidth="1"/>
    <col min="5" max="5" width="16.81640625" customWidth="1"/>
    <col min="6" max="6" width="16.7265625" bestFit="1" customWidth="1"/>
    <col min="7" max="7" width="18.7265625" customWidth="1"/>
    <col min="8" max="8" width="18.36328125" customWidth="1"/>
    <col min="9" max="9" width="12.453125" bestFit="1" customWidth="1"/>
    <col min="10" max="10" width="17.26953125" customWidth="1"/>
    <col min="11" max="11" width="11.54296875" customWidth="1"/>
    <col min="12" max="12" width="11.6328125" customWidth="1"/>
    <col min="13" max="13" width="20.7265625" customWidth="1"/>
    <col min="14" max="14" width="17.54296875" customWidth="1"/>
    <col min="15" max="15" width="13.1796875" customWidth="1"/>
    <col min="16" max="16" width="13.453125" customWidth="1"/>
    <col min="17" max="17" width="13.26953125" customWidth="1"/>
    <col min="18" max="18" width="14.36328125" customWidth="1"/>
  </cols>
  <sheetData>
    <row r="1" spans="2:18" x14ac:dyDescent="0.35">
      <c r="B1" s="16" t="s">
        <v>19</v>
      </c>
      <c r="C1" s="16"/>
    </row>
    <row r="2" spans="2:18" x14ac:dyDescent="0.35">
      <c r="B2" s="16" t="s">
        <v>18</v>
      </c>
      <c r="C2" s="16"/>
    </row>
    <row r="3" spans="2:18" ht="58.75" customHeight="1" x14ac:dyDescent="0.35">
      <c r="B3" t="s">
        <v>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83</v>
      </c>
      <c r="H3" s="1" t="s">
        <v>24</v>
      </c>
      <c r="I3" s="1" t="s">
        <v>84</v>
      </c>
      <c r="J3" s="1" t="s">
        <v>85</v>
      </c>
      <c r="K3" s="1" t="s">
        <v>25</v>
      </c>
      <c r="L3" s="1" t="s">
        <v>86</v>
      </c>
      <c r="M3" s="1" t="s">
        <v>26</v>
      </c>
      <c r="N3" s="1" t="s">
        <v>87</v>
      </c>
      <c r="O3" s="1" t="s">
        <v>88</v>
      </c>
      <c r="P3" s="1" t="s">
        <v>27</v>
      </c>
      <c r="Q3" s="1" t="s">
        <v>111</v>
      </c>
      <c r="R3" s="1" t="s">
        <v>82</v>
      </c>
    </row>
    <row r="4" spans="2:18" x14ac:dyDescent="0.35">
      <c r="B4" s="2">
        <v>100</v>
      </c>
      <c r="C4" s="4">
        <v>0</v>
      </c>
      <c r="D4" s="4">
        <v>0</v>
      </c>
      <c r="E4" s="3">
        <v>10</v>
      </c>
      <c r="F4" s="4">
        <v>0</v>
      </c>
      <c r="G4" s="4">
        <v>0</v>
      </c>
      <c r="H4" s="3">
        <v>10</v>
      </c>
      <c r="I4" s="4">
        <v>0</v>
      </c>
      <c r="J4" s="3">
        <v>10</v>
      </c>
      <c r="K4" s="4">
        <v>0</v>
      </c>
      <c r="L4" s="4">
        <v>0</v>
      </c>
      <c r="M4" s="4">
        <v>0</v>
      </c>
      <c r="N4" s="4">
        <v>0</v>
      </c>
      <c r="O4" s="2">
        <v>0</v>
      </c>
      <c r="P4" s="2">
        <v>0</v>
      </c>
      <c r="Q4" s="2">
        <v>0</v>
      </c>
      <c r="R4" s="2">
        <v>0</v>
      </c>
    </row>
    <row r="5" spans="2:18" x14ac:dyDescent="0.35">
      <c r="B5" s="2">
        <v>101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2">
        <v>0</v>
      </c>
      <c r="P5" s="2">
        <v>0</v>
      </c>
      <c r="Q5" s="2">
        <v>0</v>
      </c>
      <c r="R5" s="2">
        <v>0</v>
      </c>
    </row>
    <row r="6" spans="2:18" x14ac:dyDescent="0.35">
      <c r="B6" s="2">
        <v>102</v>
      </c>
      <c r="C6" s="4">
        <v>0</v>
      </c>
      <c r="D6" s="4">
        <v>0</v>
      </c>
      <c r="E6" s="3">
        <v>1</v>
      </c>
      <c r="F6" s="4">
        <v>0</v>
      </c>
      <c r="G6" s="4">
        <v>0</v>
      </c>
      <c r="H6" s="4">
        <v>0</v>
      </c>
      <c r="I6" s="3">
        <v>8</v>
      </c>
      <c r="J6" s="4">
        <v>0</v>
      </c>
      <c r="K6" s="4">
        <v>0</v>
      </c>
      <c r="L6" s="4">
        <v>0</v>
      </c>
      <c r="M6" s="3">
        <v>8</v>
      </c>
      <c r="N6" s="3">
        <v>3</v>
      </c>
      <c r="O6" s="2">
        <v>0</v>
      </c>
      <c r="P6" s="2">
        <v>0</v>
      </c>
      <c r="Q6" s="2">
        <v>0</v>
      </c>
      <c r="R6" s="2">
        <v>0</v>
      </c>
    </row>
    <row r="7" spans="2:18" x14ac:dyDescent="0.35">
      <c r="B7" s="2">
        <v>103</v>
      </c>
      <c r="C7" s="4">
        <v>0</v>
      </c>
      <c r="D7" s="4">
        <v>0</v>
      </c>
      <c r="E7" s="4">
        <v>0</v>
      </c>
      <c r="F7" s="3">
        <v>4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2">
        <v>0</v>
      </c>
      <c r="P7" s="2">
        <v>0</v>
      </c>
      <c r="Q7" s="2">
        <v>0</v>
      </c>
      <c r="R7" s="2">
        <v>0</v>
      </c>
    </row>
    <row r="8" spans="2:18" x14ac:dyDescent="0.35">
      <c r="B8" s="2">
        <v>104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>
        <v>0</v>
      </c>
      <c r="P8" s="2">
        <v>0</v>
      </c>
      <c r="Q8" s="2">
        <v>0</v>
      </c>
      <c r="R8" s="2">
        <v>0</v>
      </c>
    </row>
    <row r="9" spans="2:18" x14ac:dyDescent="0.35">
      <c r="B9" s="2">
        <v>105</v>
      </c>
      <c r="C9" s="4">
        <v>0</v>
      </c>
      <c r="D9" s="3">
        <v>3</v>
      </c>
      <c r="E9" s="4">
        <v>0</v>
      </c>
      <c r="F9" s="4">
        <v>0</v>
      </c>
      <c r="G9" s="4">
        <v>0</v>
      </c>
      <c r="H9" s="4">
        <v>0</v>
      </c>
      <c r="I9" s="3">
        <v>2</v>
      </c>
      <c r="J9" s="3">
        <v>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2">
        <v>0</v>
      </c>
      <c r="Q9" s="2">
        <v>0</v>
      </c>
      <c r="R9" s="2">
        <v>0</v>
      </c>
    </row>
    <row r="10" spans="2:18" x14ac:dyDescent="0.35">
      <c r="B10" s="2">
        <v>106</v>
      </c>
      <c r="C10" s="4">
        <v>0</v>
      </c>
      <c r="D10" s="3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2">
        <v>0</v>
      </c>
      <c r="P10" s="2">
        <v>0</v>
      </c>
      <c r="Q10" s="2">
        <v>0</v>
      </c>
      <c r="R10" s="2">
        <v>0</v>
      </c>
    </row>
    <row r="11" spans="2:18" x14ac:dyDescent="0.35">
      <c r="B11" s="2">
        <v>107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3">
        <v>4</v>
      </c>
      <c r="J11" s="4">
        <v>0</v>
      </c>
      <c r="K11" s="3">
        <v>4</v>
      </c>
      <c r="L11" s="4">
        <v>0</v>
      </c>
      <c r="M11" s="4">
        <v>0</v>
      </c>
      <c r="N11" s="4">
        <v>0</v>
      </c>
      <c r="O11" s="2">
        <v>0</v>
      </c>
      <c r="P11" s="2">
        <v>0</v>
      </c>
      <c r="Q11" s="2">
        <v>0</v>
      </c>
      <c r="R11" s="2">
        <v>0</v>
      </c>
    </row>
    <row r="12" spans="2:18" x14ac:dyDescent="0.35">
      <c r="B12" s="2">
        <v>108</v>
      </c>
      <c r="C12" s="4">
        <v>0</v>
      </c>
      <c r="D12" s="4">
        <v>0</v>
      </c>
      <c r="E12" s="3">
        <v>2</v>
      </c>
      <c r="F12" s="4">
        <v>0</v>
      </c>
      <c r="G12" s="4">
        <v>0</v>
      </c>
      <c r="H12" s="4">
        <v>0</v>
      </c>
      <c r="I12" s="3">
        <v>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2">
        <v>0</v>
      </c>
      <c r="P12" s="2">
        <v>0</v>
      </c>
      <c r="Q12" s="2">
        <v>0</v>
      </c>
      <c r="R12" s="2">
        <v>0</v>
      </c>
    </row>
    <row r="13" spans="2:18" x14ac:dyDescent="0.35">
      <c r="B13" s="2">
        <v>109</v>
      </c>
      <c r="C13" s="4">
        <v>0</v>
      </c>
      <c r="D13" s="3">
        <v>5</v>
      </c>
      <c r="E13" s="4">
        <v>0</v>
      </c>
      <c r="F13" s="4">
        <v>0</v>
      </c>
      <c r="G13" s="3">
        <v>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3">
        <v>8</v>
      </c>
      <c r="N13" s="4">
        <v>0</v>
      </c>
      <c r="O13" s="2">
        <v>0</v>
      </c>
      <c r="P13" s="2">
        <v>0</v>
      </c>
      <c r="Q13" s="2">
        <v>0</v>
      </c>
      <c r="R13" s="2">
        <v>0</v>
      </c>
    </row>
    <row r="14" spans="2:18" x14ac:dyDescent="0.35">
      <c r="B14" s="2">
        <v>110</v>
      </c>
      <c r="C14" s="3">
        <v>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2">
        <v>0</v>
      </c>
      <c r="P14" s="2">
        <v>0</v>
      </c>
      <c r="Q14" s="2">
        <v>0</v>
      </c>
      <c r="R14" s="2">
        <v>0</v>
      </c>
    </row>
    <row r="15" spans="2:18" x14ac:dyDescent="0.35">
      <c r="B15" s="2">
        <v>111</v>
      </c>
      <c r="C15" s="3">
        <v>2</v>
      </c>
      <c r="D15" s="3">
        <v>2</v>
      </c>
      <c r="E15" s="3">
        <v>2</v>
      </c>
      <c r="F15" s="4">
        <v>0</v>
      </c>
      <c r="G15" s="3">
        <v>2</v>
      </c>
      <c r="H15" s="4">
        <v>0</v>
      </c>
      <c r="I15" s="3">
        <v>2</v>
      </c>
      <c r="J15" s="3">
        <v>2</v>
      </c>
      <c r="K15" s="4">
        <v>0</v>
      </c>
      <c r="L15" s="4">
        <v>0</v>
      </c>
      <c r="M15" s="4">
        <v>0</v>
      </c>
      <c r="N15" s="4">
        <v>0</v>
      </c>
      <c r="O15" s="2">
        <v>0</v>
      </c>
      <c r="P15" s="2">
        <v>0</v>
      </c>
      <c r="Q15" s="2">
        <v>0</v>
      </c>
      <c r="R15" s="2">
        <v>0</v>
      </c>
    </row>
    <row r="16" spans="2:18" x14ac:dyDescent="0.35">
      <c r="B16" s="2">
        <v>112</v>
      </c>
      <c r="C16" s="4">
        <v>0</v>
      </c>
      <c r="D16" s="3">
        <v>6</v>
      </c>
      <c r="E16" s="4">
        <v>0</v>
      </c>
      <c r="F16" s="4">
        <v>0</v>
      </c>
      <c r="G16" s="3">
        <v>6</v>
      </c>
      <c r="H16" s="4">
        <v>0</v>
      </c>
      <c r="I16" s="4">
        <v>0</v>
      </c>
      <c r="J16" s="3">
        <v>10</v>
      </c>
      <c r="K16" s="3">
        <v>8</v>
      </c>
      <c r="L16" s="4">
        <v>0</v>
      </c>
      <c r="M16" s="4">
        <v>0</v>
      </c>
      <c r="N16" s="4">
        <v>0</v>
      </c>
      <c r="O16" s="2">
        <v>0</v>
      </c>
      <c r="P16" s="2">
        <v>0</v>
      </c>
      <c r="Q16" s="2">
        <v>0</v>
      </c>
      <c r="R16" s="2">
        <v>0</v>
      </c>
    </row>
    <row r="17" spans="2:18" x14ac:dyDescent="0.35">
      <c r="B17" s="2">
        <v>113</v>
      </c>
      <c r="C17" s="3">
        <v>2</v>
      </c>
      <c r="D17" s="4">
        <v>0</v>
      </c>
      <c r="E17" s="4">
        <v>0</v>
      </c>
      <c r="F17" s="4">
        <v>0</v>
      </c>
      <c r="G17" s="3">
        <v>2</v>
      </c>
      <c r="H17" s="3">
        <v>2</v>
      </c>
      <c r="I17" s="3">
        <v>2</v>
      </c>
      <c r="J17" s="4">
        <v>0</v>
      </c>
      <c r="K17" s="3">
        <v>2</v>
      </c>
      <c r="L17" s="3">
        <v>6</v>
      </c>
      <c r="M17" s="4">
        <v>0</v>
      </c>
      <c r="N17" s="4">
        <v>0</v>
      </c>
      <c r="O17" s="3">
        <v>1</v>
      </c>
      <c r="P17" s="2">
        <v>0</v>
      </c>
      <c r="Q17" s="2">
        <v>0</v>
      </c>
      <c r="R17" s="2">
        <v>0</v>
      </c>
    </row>
    <row r="18" spans="2:18" x14ac:dyDescent="0.35">
      <c r="B18" s="2">
        <v>114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3">
        <v>2</v>
      </c>
      <c r="N18" s="3">
        <v>2</v>
      </c>
      <c r="O18" s="2">
        <v>0</v>
      </c>
      <c r="P18" s="2">
        <v>0</v>
      </c>
      <c r="Q18" s="2">
        <v>0</v>
      </c>
      <c r="R18" s="2">
        <v>0</v>
      </c>
    </row>
    <row r="19" spans="2:18" x14ac:dyDescent="0.35">
      <c r="B19" s="2">
        <v>115</v>
      </c>
      <c r="C19" s="3">
        <v>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3">
        <v>9</v>
      </c>
      <c r="J19" s="4">
        <v>0</v>
      </c>
      <c r="K19" s="4">
        <v>0</v>
      </c>
      <c r="L19" s="4">
        <v>0</v>
      </c>
      <c r="M19" s="3">
        <v>9</v>
      </c>
      <c r="N19" s="4">
        <v>0</v>
      </c>
      <c r="O19" s="2">
        <v>0</v>
      </c>
      <c r="P19" s="2">
        <v>0</v>
      </c>
      <c r="Q19" s="2">
        <v>0</v>
      </c>
      <c r="R19" s="2">
        <v>0</v>
      </c>
    </row>
    <row r="20" spans="2:18" x14ac:dyDescent="0.35">
      <c r="B20" s="2">
        <v>116</v>
      </c>
      <c r="C20" s="4">
        <v>0</v>
      </c>
      <c r="D20" s="4">
        <v>0</v>
      </c>
      <c r="E20" s="3">
        <v>2</v>
      </c>
      <c r="F20" s="4">
        <v>0</v>
      </c>
      <c r="G20" s="3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3">
        <v>2</v>
      </c>
      <c r="N20" s="3">
        <v>2</v>
      </c>
      <c r="O20" s="2">
        <v>0</v>
      </c>
      <c r="P20" s="2">
        <v>0</v>
      </c>
      <c r="Q20" s="2">
        <v>0</v>
      </c>
      <c r="R20" s="2">
        <v>0</v>
      </c>
    </row>
    <row r="21" spans="2:18" x14ac:dyDescent="0.35">
      <c r="B21" s="2">
        <v>117</v>
      </c>
      <c r="C21" s="4">
        <v>0</v>
      </c>
      <c r="D21" s="3">
        <v>1</v>
      </c>
      <c r="E21" s="3">
        <v>2</v>
      </c>
      <c r="F21" s="4">
        <v>0</v>
      </c>
      <c r="G21" s="4">
        <v>0</v>
      </c>
      <c r="H21" s="4">
        <v>0</v>
      </c>
      <c r="I21" s="4">
        <v>0</v>
      </c>
      <c r="J21" s="3">
        <v>2</v>
      </c>
      <c r="K21" s="4">
        <v>0</v>
      </c>
      <c r="L21" s="4">
        <v>0</v>
      </c>
      <c r="M21" s="3">
        <v>2</v>
      </c>
      <c r="N21" s="4">
        <v>0</v>
      </c>
      <c r="O21" s="2">
        <v>0</v>
      </c>
      <c r="P21" s="2">
        <v>0</v>
      </c>
      <c r="Q21" s="2">
        <v>0</v>
      </c>
      <c r="R21" s="2">
        <v>0</v>
      </c>
    </row>
    <row r="22" spans="2:18" x14ac:dyDescent="0.35">
      <c r="B22" s="2">
        <v>118</v>
      </c>
      <c r="C22" s="4">
        <v>0</v>
      </c>
      <c r="D22" s="4">
        <v>0</v>
      </c>
      <c r="E22" s="4">
        <v>0</v>
      </c>
      <c r="F22" s="3">
        <v>8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2">
        <v>0</v>
      </c>
      <c r="P22" s="2">
        <v>0</v>
      </c>
      <c r="Q22" s="2">
        <v>0</v>
      </c>
      <c r="R22" s="2">
        <v>0</v>
      </c>
    </row>
    <row r="23" spans="2:18" x14ac:dyDescent="0.35">
      <c r="B23" s="2">
        <v>119</v>
      </c>
      <c r="C23" s="4">
        <v>0</v>
      </c>
      <c r="D23" s="4">
        <v>0</v>
      </c>
      <c r="E23" s="3">
        <v>1</v>
      </c>
      <c r="F23" s="3">
        <v>1</v>
      </c>
      <c r="G23" s="4">
        <v>0</v>
      </c>
      <c r="H23" s="4">
        <v>0</v>
      </c>
      <c r="I23" s="3">
        <v>1</v>
      </c>
      <c r="J23" s="3">
        <v>1</v>
      </c>
      <c r="K23" s="4">
        <v>0</v>
      </c>
      <c r="L23" s="4">
        <v>0</v>
      </c>
      <c r="M23" s="3">
        <v>2</v>
      </c>
      <c r="N23" s="4">
        <v>0</v>
      </c>
      <c r="O23" s="2">
        <v>0</v>
      </c>
      <c r="P23" s="2">
        <v>0</v>
      </c>
      <c r="Q23" s="2">
        <v>0</v>
      </c>
      <c r="R23" s="2">
        <v>0</v>
      </c>
    </row>
    <row r="24" spans="2:18" x14ac:dyDescent="0.35">
      <c r="B24" s="2">
        <v>120</v>
      </c>
      <c r="C24" s="4">
        <v>0</v>
      </c>
      <c r="D24" s="3">
        <v>3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3">
        <v>2</v>
      </c>
      <c r="K24" s="4">
        <v>0</v>
      </c>
      <c r="L24" s="4">
        <v>0</v>
      </c>
      <c r="M24" s="4">
        <v>0</v>
      </c>
      <c r="N24" s="4">
        <v>0</v>
      </c>
      <c r="O24" s="3">
        <v>1</v>
      </c>
      <c r="P24" s="2">
        <v>0</v>
      </c>
      <c r="Q24" s="2">
        <v>0</v>
      </c>
      <c r="R24" s="2">
        <v>0</v>
      </c>
    </row>
    <row r="25" spans="2:18" x14ac:dyDescent="0.35">
      <c r="B25" s="2">
        <v>121</v>
      </c>
      <c r="C25" s="4">
        <v>0</v>
      </c>
      <c r="D25" s="4">
        <v>0</v>
      </c>
      <c r="E25" s="4">
        <v>0</v>
      </c>
      <c r="F25" s="4">
        <v>0</v>
      </c>
      <c r="G25" s="3">
        <v>1</v>
      </c>
      <c r="H25" s="4">
        <v>0</v>
      </c>
      <c r="I25" s="4">
        <v>0</v>
      </c>
      <c r="J25" s="3">
        <v>1</v>
      </c>
      <c r="K25" s="4">
        <v>0</v>
      </c>
      <c r="L25" s="3">
        <v>2</v>
      </c>
      <c r="M25" s="4">
        <v>0</v>
      </c>
      <c r="N25" s="4">
        <v>0</v>
      </c>
      <c r="O25" s="2">
        <v>0</v>
      </c>
      <c r="P25" s="2">
        <v>0</v>
      </c>
      <c r="Q25" s="2">
        <v>0</v>
      </c>
      <c r="R25" s="2">
        <v>0</v>
      </c>
    </row>
    <row r="26" spans="2:18" x14ac:dyDescent="0.35">
      <c r="B26" s="2">
        <v>122</v>
      </c>
      <c r="C26" s="4">
        <v>0</v>
      </c>
      <c r="D26" s="4">
        <v>0</v>
      </c>
      <c r="E26" s="3">
        <v>3</v>
      </c>
      <c r="F26" s="4">
        <v>0</v>
      </c>
      <c r="G26" s="4">
        <v>0</v>
      </c>
      <c r="H26" s="3">
        <v>3</v>
      </c>
      <c r="I26" s="4">
        <v>0</v>
      </c>
      <c r="J26" s="4">
        <v>0</v>
      </c>
      <c r="K26" s="4">
        <v>0</v>
      </c>
      <c r="L26" s="3">
        <v>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2:18" x14ac:dyDescent="0.35">
      <c r="B27" s="2">
        <v>123</v>
      </c>
      <c r="C27" s="4">
        <v>0</v>
      </c>
      <c r="D27" s="3">
        <v>4</v>
      </c>
      <c r="E27" s="4">
        <v>0</v>
      </c>
      <c r="F27" s="3">
        <v>4</v>
      </c>
      <c r="G27" s="4">
        <v>0</v>
      </c>
      <c r="H27" s="4">
        <v>0</v>
      </c>
      <c r="I27" s="4">
        <v>0</v>
      </c>
      <c r="J27" s="3">
        <v>4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  <row r="28" spans="2:18" x14ac:dyDescent="0.35">
      <c r="B28" s="2">
        <v>124</v>
      </c>
      <c r="C28" s="4">
        <v>0</v>
      </c>
      <c r="D28" s="4">
        <v>0</v>
      </c>
      <c r="E28" s="4">
        <v>0</v>
      </c>
      <c r="F28" s="3">
        <v>9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</row>
    <row r="29" spans="2:18" ht="25.5" customHeight="1" x14ac:dyDescent="0.35">
      <c r="B29" s="2">
        <v>125</v>
      </c>
      <c r="C29" s="4">
        <v>0</v>
      </c>
      <c r="D29" s="4">
        <v>0</v>
      </c>
      <c r="E29" s="4">
        <v>0</v>
      </c>
      <c r="F29" s="3">
        <v>2</v>
      </c>
      <c r="G29" s="4">
        <v>0</v>
      </c>
      <c r="H29" s="3">
        <v>2</v>
      </c>
      <c r="I29" s="4">
        <v>0</v>
      </c>
      <c r="J29" s="3">
        <v>2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  <row r="30" spans="2:18" x14ac:dyDescent="0.35">
      <c r="B30" s="2">
        <v>126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</row>
    <row r="31" spans="2:18" x14ac:dyDescent="0.35">
      <c r="B31" s="2">
        <v>127</v>
      </c>
      <c r="C31" s="3">
        <v>2</v>
      </c>
      <c r="D31" s="3">
        <v>2</v>
      </c>
      <c r="E31" s="4">
        <v>0</v>
      </c>
      <c r="F31" s="4">
        <v>0</v>
      </c>
      <c r="G31" s="4">
        <v>0</v>
      </c>
      <c r="H31" s="4">
        <v>0</v>
      </c>
      <c r="I31" s="3">
        <v>2</v>
      </c>
      <c r="J31" s="3">
        <v>3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</row>
    <row r="32" spans="2:18" x14ac:dyDescent="0.35">
      <c r="B32" s="2">
        <v>128</v>
      </c>
      <c r="C32" s="4">
        <v>0</v>
      </c>
      <c r="D32" s="4">
        <v>0</v>
      </c>
      <c r="E32" s="4">
        <v>0</v>
      </c>
      <c r="F32" s="3">
        <v>4</v>
      </c>
      <c r="G32" s="4">
        <v>0</v>
      </c>
      <c r="H32" s="3">
        <v>4</v>
      </c>
      <c r="I32" s="4">
        <v>0</v>
      </c>
      <c r="J32" s="4">
        <v>0</v>
      </c>
      <c r="K32" s="3">
        <v>8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</row>
    <row r="33" spans="2:18" x14ac:dyDescent="0.35">
      <c r="B33" s="2">
        <v>129</v>
      </c>
      <c r="C33" s="3">
        <v>1</v>
      </c>
      <c r="D33" s="4">
        <v>0</v>
      </c>
      <c r="E33" s="3">
        <v>3</v>
      </c>
      <c r="F33" s="4">
        <v>0</v>
      </c>
      <c r="G33" s="3">
        <v>3</v>
      </c>
      <c r="H33" s="3">
        <v>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</row>
    <row r="34" spans="2:18" x14ac:dyDescent="0.35">
      <c r="B34" s="2">
        <v>130</v>
      </c>
      <c r="C34" s="3">
        <v>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3"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2:18" x14ac:dyDescent="0.35">
      <c r="B35" s="2">
        <v>131</v>
      </c>
      <c r="C35" s="4">
        <v>0</v>
      </c>
      <c r="D35" s="4">
        <v>0</v>
      </c>
      <c r="E35" s="3">
        <v>8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</row>
    <row r="36" spans="2:18" x14ac:dyDescent="0.35">
      <c r="B36" s="2">
        <v>132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3">
        <v>5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3">
        <v>8</v>
      </c>
      <c r="O36" s="4">
        <v>0</v>
      </c>
      <c r="P36" s="4">
        <v>0</v>
      </c>
      <c r="Q36" s="4">
        <v>0</v>
      </c>
      <c r="R36" s="4">
        <v>0</v>
      </c>
    </row>
    <row r="37" spans="2:18" x14ac:dyDescent="0.35">
      <c r="B37" s="2">
        <v>133</v>
      </c>
      <c r="C37" s="4">
        <v>0</v>
      </c>
      <c r="D37" s="4">
        <v>0</v>
      </c>
      <c r="E37" s="4">
        <v>0</v>
      </c>
      <c r="F37" s="3">
        <v>5</v>
      </c>
      <c r="G37" s="4">
        <v>0</v>
      </c>
      <c r="H37" s="4">
        <v>0</v>
      </c>
      <c r="I37" s="4">
        <v>0</v>
      </c>
      <c r="J37" s="4">
        <v>0</v>
      </c>
      <c r="K37" s="3">
        <v>5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2:18" x14ac:dyDescent="0.35">
      <c r="B38" s="2">
        <v>134</v>
      </c>
      <c r="C38" s="4">
        <v>0</v>
      </c>
      <c r="D38" s="4">
        <v>0</v>
      </c>
      <c r="E38" s="3">
        <v>8</v>
      </c>
      <c r="F38" s="3">
        <v>8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</row>
    <row r="39" spans="2:18" x14ac:dyDescent="0.35">
      <c r="B39" s="2">
        <v>135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3">
        <v>4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4">
        <v>0</v>
      </c>
      <c r="Q39" s="4">
        <v>0</v>
      </c>
      <c r="R39" s="4">
        <v>0</v>
      </c>
    </row>
    <row r="40" spans="2:18" x14ac:dyDescent="0.35">
      <c r="B40" s="2">
        <v>136</v>
      </c>
      <c r="C40" s="4">
        <v>0</v>
      </c>
      <c r="D40" s="3">
        <v>3</v>
      </c>
      <c r="E40" s="4">
        <v>0</v>
      </c>
      <c r="F40" s="4">
        <v>0</v>
      </c>
      <c r="G40" s="3">
        <v>1</v>
      </c>
      <c r="H40" s="4">
        <v>0</v>
      </c>
      <c r="I40" s="4">
        <v>0</v>
      </c>
      <c r="J40" s="3">
        <v>3</v>
      </c>
      <c r="K40" s="4">
        <v>0</v>
      </c>
      <c r="L40" s="4">
        <v>0</v>
      </c>
      <c r="M40" s="3">
        <v>6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</row>
    <row r="41" spans="2:18" x14ac:dyDescent="0.35">
      <c r="B41" s="2">
        <v>137</v>
      </c>
      <c r="C41" s="4">
        <v>0</v>
      </c>
      <c r="D41" s="4">
        <v>0</v>
      </c>
      <c r="E41" s="3">
        <v>7</v>
      </c>
      <c r="F41" s="4">
        <v>0</v>
      </c>
      <c r="G41" s="4">
        <v>0</v>
      </c>
      <c r="H41" s="3">
        <v>6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3">
        <v>2</v>
      </c>
      <c r="P41" s="4">
        <v>0</v>
      </c>
      <c r="Q41" s="4">
        <v>0</v>
      </c>
      <c r="R41" s="4">
        <v>0</v>
      </c>
    </row>
    <row r="42" spans="2:18" x14ac:dyDescent="0.35">
      <c r="B42" s="2">
        <v>138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3">
        <v>2</v>
      </c>
      <c r="L42" s="4">
        <v>0</v>
      </c>
      <c r="M42" s="4">
        <v>0</v>
      </c>
      <c r="N42" s="3">
        <v>6</v>
      </c>
      <c r="O42" s="3">
        <v>1</v>
      </c>
      <c r="P42" s="4">
        <v>0</v>
      </c>
      <c r="Q42" s="4">
        <v>0</v>
      </c>
      <c r="R42" s="4">
        <v>0</v>
      </c>
    </row>
    <row r="43" spans="2:18" ht="32.5" customHeight="1" x14ac:dyDescent="0.35">
      <c r="B43" s="2">
        <v>139</v>
      </c>
      <c r="C43" s="4">
        <v>0</v>
      </c>
      <c r="D43" s="4">
        <v>0</v>
      </c>
      <c r="E43" s="3">
        <v>6</v>
      </c>
      <c r="F43" s="3">
        <v>4</v>
      </c>
      <c r="G43" s="4">
        <v>0</v>
      </c>
      <c r="H43" s="3">
        <v>5</v>
      </c>
      <c r="I43" s="4">
        <v>0</v>
      </c>
      <c r="J43" s="3">
        <v>5</v>
      </c>
      <c r="K43" s="4">
        <v>0</v>
      </c>
      <c r="L43" s="4">
        <v>0</v>
      </c>
      <c r="M43" s="3">
        <v>5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2:18" x14ac:dyDescent="0.35">
      <c r="B44" s="2">
        <v>140</v>
      </c>
      <c r="C44" s="4">
        <v>0</v>
      </c>
      <c r="D44" s="3">
        <v>6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</row>
    <row r="45" spans="2:18" x14ac:dyDescent="0.35">
      <c r="B45" s="2">
        <v>141</v>
      </c>
      <c r="C45" s="4">
        <v>0</v>
      </c>
      <c r="D45" s="4">
        <v>0</v>
      </c>
      <c r="E45" s="4">
        <v>0</v>
      </c>
      <c r="F45" s="3">
        <v>4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3">
        <v>6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</row>
    <row r="46" spans="2:18" x14ac:dyDescent="0.35">
      <c r="B46" s="2">
        <v>142</v>
      </c>
      <c r="C46" s="4">
        <v>0</v>
      </c>
      <c r="D46" s="3">
        <v>8</v>
      </c>
      <c r="E46" s="4">
        <v>0</v>
      </c>
      <c r="F46" s="4">
        <v>0</v>
      </c>
      <c r="G46" s="3">
        <v>6</v>
      </c>
      <c r="H46" s="4">
        <v>0</v>
      </c>
      <c r="I46" s="3">
        <v>8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</row>
    <row r="47" spans="2:18" x14ac:dyDescent="0.35">
      <c r="B47" s="2">
        <v>143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3">
        <v>2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</row>
    <row r="48" spans="2:18" x14ac:dyDescent="0.35">
      <c r="B48" s="2">
        <v>144</v>
      </c>
      <c r="C48" s="4">
        <v>0</v>
      </c>
      <c r="D48" s="4">
        <v>0</v>
      </c>
      <c r="E48" s="4">
        <v>0</v>
      </c>
      <c r="F48" s="3">
        <v>6</v>
      </c>
      <c r="G48" s="4">
        <v>0</v>
      </c>
      <c r="H48" s="4">
        <v>0</v>
      </c>
      <c r="I48" s="4">
        <v>0</v>
      </c>
      <c r="J48" s="3">
        <v>2</v>
      </c>
      <c r="K48" s="4">
        <v>0</v>
      </c>
      <c r="L48" s="4">
        <v>0</v>
      </c>
      <c r="M48" s="3">
        <v>8</v>
      </c>
      <c r="N48" s="4">
        <v>0</v>
      </c>
      <c r="O48" s="3">
        <v>1</v>
      </c>
      <c r="P48" s="4">
        <v>0</v>
      </c>
      <c r="Q48" s="4">
        <v>0</v>
      </c>
      <c r="R48" s="4">
        <v>0</v>
      </c>
    </row>
    <row r="49" spans="2:18" x14ac:dyDescent="0.35">
      <c r="B49" s="2">
        <v>145</v>
      </c>
      <c r="C49" s="4">
        <v>0</v>
      </c>
      <c r="D49" s="4">
        <v>0</v>
      </c>
      <c r="E49" s="4">
        <v>0</v>
      </c>
      <c r="F49" s="3">
        <v>2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</row>
    <row r="50" spans="2:18" x14ac:dyDescent="0.35">
      <c r="B50" s="2">
        <v>146</v>
      </c>
      <c r="C50" s="4">
        <v>0</v>
      </c>
      <c r="D50" s="3">
        <v>2</v>
      </c>
      <c r="E50" s="3">
        <v>3</v>
      </c>
      <c r="F50" s="3">
        <v>1</v>
      </c>
      <c r="G50" s="3">
        <v>1</v>
      </c>
      <c r="H50" s="4">
        <v>0</v>
      </c>
      <c r="I50" s="4">
        <v>0</v>
      </c>
      <c r="J50" s="3">
        <v>2</v>
      </c>
      <c r="K50" s="4">
        <v>0</v>
      </c>
      <c r="L50" s="4">
        <v>0</v>
      </c>
      <c r="M50" s="3">
        <v>1</v>
      </c>
      <c r="N50" s="4">
        <v>0</v>
      </c>
      <c r="O50" s="3">
        <v>1</v>
      </c>
      <c r="P50" s="4">
        <v>0</v>
      </c>
      <c r="Q50" s="4">
        <v>0</v>
      </c>
      <c r="R50" s="4">
        <v>0</v>
      </c>
    </row>
    <row r="51" spans="2:18" x14ac:dyDescent="0.35">
      <c r="B51" s="2">
        <v>147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3">
        <v>2</v>
      </c>
      <c r="N51" s="5">
        <v>0</v>
      </c>
      <c r="O51" s="5">
        <v>0</v>
      </c>
      <c r="P51" s="4">
        <v>0</v>
      </c>
      <c r="Q51" s="4">
        <v>0</v>
      </c>
      <c r="R51" s="4">
        <v>0</v>
      </c>
    </row>
    <row r="52" spans="2:18" x14ac:dyDescent="0.35">
      <c r="B52" s="2">
        <v>148</v>
      </c>
      <c r="C52" s="4">
        <v>0</v>
      </c>
      <c r="D52" s="3">
        <v>2</v>
      </c>
      <c r="E52" s="4">
        <v>0</v>
      </c>
      <c r="F52" s="4">
        <v>0</v>
      </c>
      <c r="G52" s="4">
        <v>0</v>
      </c>
      <c r="H52" s="3">
        <v>2</v>
      </c>
      <c r="I52" s="3">
        <v>2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</row>
    <row r="53" spans="2:18" x14ac:dyDescent="0.35">
      <c r="B53" s="2">
        <v>149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3">
        <v>1</v>
      </c>
      <c r="P53" s="4">
        <v>0</v>
      </c>
      <c r="Q53" s="4">
        <v>0</v>
      </c>
      <c r="R53" s="4">
        <v>0</v>
      </c>
    </row>
    <row r="54" spans="2:18" x14ac:dyDescent="0.35">
      <c r="B54" s="2">
        <v>150</v>
      </c>
      <c r="C54" s="4">
        <v>0</v>
      </c>
      <c r="D54" s="4">
        <v>0</v>
      </c>
      <c r="E54" s="4">
        <v>0</v>
      </c>
      <c r="F54" s="3">
        <v>2</v>
      </c>
      <c r="G54" s="4">
        <v>0</v>
      </c>
      <c r="H54" s="3">
        <v>2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</row>
    <row r="55" spans="2:18" x14ac:dyDescent="0.35">
      <c r="B55" s="2">
        <v>151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3">
        <v>8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</row>
    <row r="56" spans="2:18" x14ac:dyDescent="0.35">
      <c r="B56" s="2">
        <v>152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3">
        <v>5</v>
      </c>
      <c r="I56" s="4">
        <v>0</v>
      </c>
      <c r="J56" s="4">
        <v>0</v>
      </c>
      <c r="K56" s="3">
        <v>4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3">
        <v>4</v>
      </c>
      <c r="R56" s="4">
        <v>0</v>
      </c>
    </row>
    <row r="57" spans="2:18" x14ac:dyDescent="0.35">
      <c r="B57" s="2">
        <v>153</v>
      </c>
      <c r="C57" s="3">
        <v>3</v>
      </c>
      <c r="D57" s="4">
        <v>0</v>
      </c>
      <c r="E57" s="4">
        <v>0</v>
      </c>
      <c r="F57" s="4">
        <v>0</v>
      </c>
      <c r="G57" s="4">
        <v>0</v>
      </c>
      <c r="H57" s="3">
        <v>2</v>
      </c>
      <c r="I57" s="4">
        <v>0</v>
      </c>
      <c r="J57" s="3">
        <v>2</v>
      </c>
      <c r="K57" s="3">
        <v>3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</row>
    <row r="58" spans="2:18" x14ac:dyDescent="0.35">
      <c r="B58" s="2">
        <v>154</v>
      </c>
      <c r="C58" s="4">
        <v>0</v>
      </c>
      <c r="D58" s="3">
        <v>4</v>
      </c>
      <c r="E58" s="4">
        <v>0</v>
      </c>
      <c r="F58" s="3">
        <v>4</v>
      </c>
      <c r="G58" s="4">
        <v>0</v>
      </c>
      <c r="H58" s="3">
        <v>4</v>
      </c>
      <c r="I58" s="4">
        <v>0</v>
      </c>
      <c r="J58" s="4">
        <v>0</v>
      </c>
      <c r="K58" s="3">
        <v>4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</row>
    <row r="59" spans="2:18" x14ac:dyDescent="0.35">
      <c r="B59" s="2">
        <v>155</v>
      </c>
      <c r="C59" s="4">
        <v>0</v>
      </c>
      <c r="D59" s="4">
        <v>0</v>
      </c>
      <c r="E59" s="4">
        <v>0</v>
      </c>
      <c r="F59" s="3">
        <v>6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</row>
    <row r="60" spans="2:18" x14ac:dyDescent="0.35">
      <c r="B60" s="2">
        <v>156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3">
        <v>2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</row>
    <row r="61" spans="2:18" x14ac:dyDescent="0.35">
      <c r="B61" s="2">
        <v>157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3">
        <v>3</v>
      </c>
      <c r="O61" s="4">
        <v>0</v>
      </c>
      <c r="P61" s="4">
        <v>0</v>
      </c>
      <c r="Q61" s="4">
        <v>0</v>
      </c>
      <c r="R61" s="4">
        <v>0</v>
      </c>
    </row>
    <row r="62" spans="2:18" x14ac:dyDescent="0.35">
      <c r="B62" s="2">
        <v>158</v>
      </c>
      <c r="C62" s="4">
        <v>0</v>
      </c>
      <c r="D62" s="3">
        <v>4</v>
      </c>
      <c r="E62" s="4">
        <v>0</v>
      </c>
      <c r="F62" s="3">
        <v>4</v>
      </c>
      <c r="G62" s="4">
        <v>0</v>
      </c>
      <c r="H62" s="4">
        <v>0</v>
      </c>
      <c r="I62" s="3">
        <v>4</v>
      </c>
      <c r="J62" s="3">
        <v>4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</row>
    <row r="63" spans="2:18" x14ac:dyDescent="0.35">
      <c r="B63" s="2">
        <v>159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</row>
    <row r="64" spans="2:18" x14ac:dyDescent="0.35">
      <c r="B64" s="2">
        <v>160</v>
      </c>
      <c r="C64" s="4">
        <v>0</v>
      </c>
      <c r="D64" s="3">
        <v>2</v>
      </c>
      <c r="E64" s="4">
        <v>0</v>
      </c>
      <c r="F64" s="4">
        <v>0</v>
      </c>
      <c r="G64" s="3">
        <v>2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</row>
    <row r="65" spans="2:18" x14ac:dyDescent="0.35">
      <c r="B65" s="2">
        <v>161</v>
      </c>
      <c r="C65" s="3">
        <v>1</v>
      </c>
      <c r="D65" s="4">
        <v>0</v>
      </c>
      <c r="E65" s="3">
        <v>2</v>
      </c>
      <c r="F65" s="3">
        <v>2</v>
      </c>
      <c r="G65" s="3">
        <v>2</v>
      </c>
      <c r="H65" s="3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</row>
    <row r="66" spans="2:18" ht="32" customHeight="1" x14ac:dyDescent="0.35">
      <c r="B66" s="2">
        <v>162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</row>
    <row r="67" spans="2:18" x14ac:dyDescent="0.35">
      <c r="B67" s="2">
        <v>163</v>
      </c>
      <c r="C67" s="4">
        <v>0</v>
      </c>
      <c r="D67" s="3">
        <v>2</v>
      </c>
      <c r="E67" s="3">
        <v>2</v>
      </c>
      <c r="F67" s="4">
        <v>0</v>
      </c>
      <c r="G67" s="4">
        <v>0</v>
      </c>
      <c r="H67" s="3">
        <v>2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</row>
    <row r="68" spans="2:18" x14ac:dyDescent="0.35">
      <c r="B68" s="2">
        <v>164</v>
      </c>
      <c r="C68" s="4">
        <v>0</v>
      </c>
      <c r="D68" s="4">
        <v>0</v>
      </c>
      <c r="E68" s="3">
        <v>4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</row>
    <row r="69" spans="2:18" x14ac:dyDescent="0.35">
      <c r="B69" s="2">
        <v>165</v>
      </c>
      <c r="C69" s="4">
        <v>0</v>
      </c>
      <c r="D69" s="4">
        <v>0</v>
      </c>
      <c r="E69" s="3">
        <v>3</v>
      </c>
      <c r="F69" s="3">
        <v>3</v>
      </c>
      <c r="G69" s="3">
        <v>2</v>
      </c>
      <c r="H69" s="3">
        <v>3</v>
      </c>
      <c r="I69" s="4">
        <v>0</v>
      </c>
      <c r="J69" s="3">
        <v>2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</row>
    <row r="70" spans="2:18" x14ac:dyDescent="0.35">
      <c r="B70" s="2">
        <v>166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</row>
    <row r="71" spans="2:18" x14ac:dyDescent="0.35">
      <c r="B71" s="2">
        <v>167</v>
      </c>
      <c r="C71" s="3">
        <v>2</v>
      </c>
      <c r="D71" s="4">
        <v>0</v>
      </c>
      <c r="E71" s="4">
        <v>0</v>
      </c>
      <c r="F71" s="3">
        <v>2</v>
      </c>
      <c r="G71" s="3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</row>
    <row r="72" spans="2:18" x14ac:dyDescent="0.35">
      <c r="B72" s="2">
        <v>168</v>
      </c>
      <c r="C72" s="4">
        <v>0</v>
      </c>
      <c r="D72" s="4">
        <v>0</v>
      </c>
      <c r="E72" s="4">
        <v>0</v>
      </c>
      <c r="F72" s="4">
        <v>0</v>
      </c>
      <c r="G72" s="3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</row>
    <row r="73" spans="2:18" x14ac:dyDescent="0.35">
      <c r="B73" s="2">
        <v>169</v>
      </c>
      <c r="C73" s="4">
        <v>0</v>
      </c>
      <c r="D73" s="4">
        <v>0</v>
      </c>
      <c r="E73" s="3">
        <v>3</v>
      </c>
      <c r="F73" s="4">
        <v>0</v>
      </c>
      <c r="G73" s="4">
        <v>0</v>
      </c>
      <c r="H73" s="4">
        <v>0</v>
      </c>
      <c r="I73" s="4">
        <v>0</v>
      </c>
      <c r="J73" s="3">
        <v>3</v>
      </c>
      <c r="K73" s="3">
        <v>4</v>
      </c>
      <c r="L73" s="3">
        <v>3</v>
      </c>
      <c r="M73" s="3">
        <v>4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</row>
    <row r="74" spans="2:18" x14ac:dyDescent="0.35">
      <c r="B74" s="2">
        <v>170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3">
        <v>6</v>
      </c>
      <c r="M74" s="4">
        <v>0</v>
      </c>
      <c r="N74" s="3">
        <v>8</v>
      </c>
      <c r="O74" s="3">
        <v>1</v>
      </c>
      <c r="P74" s="4">
        <v>0</v>
      </c>
      <c r="Q74" s="4">
        <v>0</v>
      </c>
      <c r="R74" s="4">
        <v>0</v>
      </c>
    </row>
    <row r="75" spans="2:18" x14ac:dyDescent="0.35">
      <c r="B75" s="2">
        <v>171</v>
      </c>
      <c r="C75" s="4">
        <v>0</v>
      </c>
      <c r="D75" s="4">
        <v>0</v>
      </c>
      <c r="E75" s="3">
        <v>8</v>
      </c>
      <c r="F75" s="3">
        <v>8</v>
      </c>
      <c r="G75" s="4">
        <v>0</v>
      </c>
      <c r="H75" s="3">
        <v>8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</row>
    <row r="76" spans="2:18" x14ac:dyDescent="0.35">
      <c r="B76" s="2">
        <v>172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3">
        <v>3</v>
      </c>
      <c r="I76" s="4">
        <v>0</v>
      </c>
      <c r="J76" s="4">
        <v>0</v>
      </c>
      <c r="K76" s="4">
        <v>0</v>
      </c>
      <c r="L76" s="3">
        <v>8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</row>
    <row r="77" spans="2:18" x14ac:dyDescent="0.35">
      <c r="B77" s="2">
        <v>173</v>
      </c>
      <c r="C77" s="4">
        <v>0</v>
      </c>
      <c r="D77" s="4">
        <v>0</v>
      </c>
      <c r="E77" s="4">
        <v>0</v>
      </c>
      <c r="F77" s="3">
        <v>4</v>
      </c>
      <c r="G77" s="4">
        <v>0</v>
      </c>
      <c r="H77" s="3">
        <v>4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</row>
    <row r="78" spans="2:18" x14ac:dyDescent="0.35">
      <c r="B78" s="2">
        <v>174</v>
      </c>
      <c r="C78" s="4">
        <v>0</v>
      </c>
      <c r="D78" s="3">
        <v>2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3">
        <v>3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</row>
    <row r="79" spans="2:18" x14ac:dyDescent="0.35">
      <c r="B79" s="2">
        <v>175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3">
        <v>2</v>
      </c>
      <c r="M79" s="4">
        <v>0</v>
      </c>
      <c r="N79" s="3">
        <v>2</v>
      </c>
      <c r="O79" s="4">
        <v>0</v>
      </c>
      <c r="P79" s="4">
        <v>0</v>
      </c>
      <c r="Q79" s="4">
        <v>0</v>
      </c>
      <c r="R79" s="4">
        <v>0</v>
      </c>
    </row>
    <row r="80" spans="2:18" x14ac:dyDescent="0.35">
      <c r="B80" s="2">
        <v>176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</row>
    <row r="81" spans="2:18" x14ac:dyDescent="0.35">
      <c r="B81" s="2">
        <v>177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</row>
    <row r="82" spans="2:18" x14ac:dyDescent="0.35">
      <c r="B82" s="2">
        <v>178</v>
      </c>
      <c r="C82" s="4">
        <v>0</v>
      </c>
      <c r="D82" s="4">
        <v>0</v>
      </c>
      <c r="E82" s="4">
        <v>0</v>
      </c>
      <c r="F82" s="3">
        <v>3</v>
      </c>
      <c r="G82" s="4">
        <v>0</v>
      </c>
      <c r="H82" s="4">
        <v>0</v>
      </c>
      <c r="I82" s="3">
        <v>2</v>
      </c>
      <c r="J82" s="4">
        <v>0</v>
      </c>
      <c r="K82" s="3">
        <v>2</v>
      </c>
      <c r="L82" s="4">
        <v>0</v>
      </c>
      <c r="M82" s="3">
        <v>2</v>
      </c>
      <c r="N82" s="4">
        <v>0</v>
      </c>
      <c r="O82" s="4"/>
      <c r="P82" s="4">
        <v>0</v>
      </c>
      <c r="Q82" s="4">
        <v>0</v>
      </c>
      <c r="R82" s="4">
        <v>0</v>
      </c>
    </row>
    <row r="83" spans="2:18" x14ac:dyDescent="0.35">
      <c r="B83" s="2">
        <v>179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3">
        <v>4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</row>
    <row r="84" spans="2:18" x14ac:dyDescent="0.35">
      <c r="B84" s="2">
        <v>180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3">
        <v>3</v>
      </c>
      <c r="M84" s="4">
        <v>0</v>
      </c>
      <c r="N84" s="4">
        <v>0</v>
      </c>
      <c r="O84" s="3">
        <v>1</v>
      </c>
      <c r="P84" s="4">
        <v>0</v>
      </c>
      <c r="Q84" s="4">
        <v>0</v>
      </c>
      <c r="R84" s="4">
        <v>0</v>
      </c>
    </row>
    <row r="85" spans="2:18" x14ac:dyDescent="0.35">
      <c r="B85" s="2">
        <v>181</v>
      </c>
      <c r="C85" s="4">
        <v>0</v>
      </c>
      <c r="D85" s="3">
        <v>3</v>
      </c>
      <c r="E85" s="3">
        <v>3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</row>
    <row r="86" spans="2:18" x14ac:dyDescent="0.35">
      <c r="B86" s="2">
        <v>182</v>
      </c>
      <c r="C86" s="4">
        <v>0</v>
      </c>
      <c r="D86" s="4">
        <v>0</v>
      </c>
      <c r="E86" s="3">
        <v>3</v>
      </c>
      <c r="F86" s="4">
        <v>0</v>
      </c>
      <c r="G86" s="4">
        <v>0</v>
      </c>
      <c r="H86" s="3">
        <v>2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</row>
    <row r="87" spans="2:18" x14ac:dyDescent="0.35">
      <c r="B87" s="2">
        <v>183</v>
      </c>
      <c r="C87" s="4">
        <v>0</v>
      </c>
      <c r="D87" s="4">
        <v>0</v>
      </c>
      <c r="E87" s="3">
        <v>2</v>
      </c>
      <c r="F87" s="4">
        <v>0</v>
      </c>
      <c r="G87" s="4">
        <v>0</v>
      </c>
      <c r="H87" s="3">
        <v>2</v>
      </c>
      <c r="I87" s="3">
        <v>2</v>
      </c>
      <c r="J87" s="4">
        <v>0</v>
      </c>
      <c r="K87" s="4">
        <v>0</v>
      </c>
      <c r="L87" s="4">
        <v>0</v>
      </c>
      <c r="M87" s="4">
        <v>0</v>
      </c>
      <c r="N87" s="3">
        <v>10</v>
      </c>
      <c r="O87" s="4">
        <v>0</v>
      </c>
      <c r="P87" s="3">
        <v>7</v>
      </c>
      <c r="Q87" s="4">
        <v>0</v>
      </c>
      <c r="R87" s="4">
        <v>0</v>
      </c>
    </row>
    <row r="88" spans="2:18" x14ac:dyDescent="0.35">
      <c r="B88" s="2">
        <v>184</v>
      </c>
      <c r="C88" s="3">
        <v>2</v>
      </c>
      <c r="D88" s="3">
        <v>3</v>
      </c>
      <c r="E88" s="4">
        <v>0</v>
      </c>
      <c r="F88" s="3">
        <v>2</v>
      </c>
      <c r="G88" s="4">
        <v>0</v>
      </c>
      <c r="H88" s="3">
        <v>3</v>
      </c>
      <c r="I88" s="4">
        <v>0</v>
      </c>
      <c r="J88" s="3">
        <v>2</v>
      </c>
      <c r="K88" s="4">
        <v>0</v>
      </c>
      <c r="L88" s="3">
        <v>5</v>
      </c>
      <c r="M88" s="3">
        <v>2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</row>
    <row r="89" spans="2:18" x14ac:dyDescent="0.35">
      <c r="B89" s="2">
        <v>185</v>
      </c>
      <c r="C89" s="4">
        <v>0</v>
      </c>
      <c r="D89" s="4">
        <v>0</v>
      </c>
      <c r="E89" s="4">
        <v>0</v>
      </c>
      <c r="F89" s="3">
        <v>3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</row>
    <row r="90" spans="2:18" x14ac:dyDescent="0.35">
      <c r="B90" s="2">
        <v>186</v>
      </c>
      <c r="C90" s="4">
        <v>0</v>
      </c>
      <c r="D90" s="3">
        <v>4</v>
      </c>
      <c r="E90" s="3">
        <v>4</v>
      </c>
      <c r="F90" s="4">
        <v>0</v>
      </c>
      <c r="G90" s="4">
        <v>0</v>
      </c>
      <c r="H90" s="4">
        <v>0</v>
      </c>
      <c r="I90" s="4">
        <v>0</v>
      </c>
      <c r="J90" s="3">
        <v>3</v>
      </c>
      <c r="K90" s="4">
        <v>0</v>
      </c>
      <c r="L90" s="4">
        <v>0</v>
      </c>
      <c r="M90" s="3">
        <v>3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</row>
    <row r="91" spans="2:18" x14ac:dyDescent="0.35">
      <c r="B91" s="2">
        <v>187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3">
        <v>6</v>
      </c>
      <c r="L91" s="3">
        <v>6</v>
      </c>
      <c r="M91" s="4">
        <v>0</v>
      </c>
      <c r="N91" s="3">
        <v>6</v>
      </c>
      <c r="O91" s="4">
        <v>0</v>
      </c>
      <c r="P91" s="4">
        <v>0</v>
      </c>
      <c r="Q91" s="4">
        <v>0</v>
      </c>
      <c r="R91" s="4">
        <v>0</v>
      </c>
    </row>
    <row r="92" spans="2:18" x14ac:dyDescent="0.35">
      <c r="B92" s="2">
        <v>188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3">
        <v>12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</row>
    <row r="93" spans="2:18" x14ac:dyDescent="0.35">
      <c r="B93" s="2">
        <v>189</v>
      </c>
      <c r="C93" s="4">
        <v>0</v>
      </c>
      <c r="D93" s="4">
        <v>0</v>
      </c>
      <c r="E93" s="4">
        <v>0</v>
      </c>
      <c r="F93" s="3">
        <v>4</v>
      </c>
      <c r="G93" s="3">
        <v>3</v>
      </c>
      <c r="H93" s="3">
        <v>2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3">
        <v>4</v>
      </c>
      <c r="O93" s="4">
        <v>0</v>
      </c>
      <c r="P93" s="4">
        <v>0</v>
      </c>
      <c r="Q93" s="4">
        <v>0</v>
      </c>
      <c r="R93" s="4">
        <v>0</v>
      </c>
    </row>
    <row r="94" spans="2:18" x14ac:dyDescent="0.35">
      <c r="B94" s="2">
        <v>190</v>
      </c>
      <c r="C94" s="3">
        <v>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</row>
    <row r="95" spans="2:18" x14ac:dyDescent="0.35">
      <c r="B95" s="2">
        <v>191</v>
      </c>
      <c r="C95" s="3">
        <v>2</v>
      </c>
      <c r="D95" s="4">
        <v>0</v>
      </c>
      <c r="E95" s="4">
        <v>0</v>
      </c>
      <c r="F95" s="4">
        <v>0</v>
      </c>
      <c r="G95" s="3">
        <v>2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3">
        <v>3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</row>
    <row r="96" spans="2:18" x14ac:dyDescent="0.35">
      <c r="B96" s="2">
        <v>192</v>
      </c>
      <c r="C96" s="4">
        <v>0</v>
      </c>
      <c r="D96" s="4">
        <v>0</v>
      </c>
      <c r="E96" s="4">
        <v>0</v>
      </c>
      <c r="F96" s="3">
        <v>5</v>
      </c>
      <c r="G96" s="4">
        <v>0</v>
      </c>
      <c r="H96" s="3">
        <v>4</v>
      </c>
      <c r="I96" s="4">
        <v>0</v>
      </c>
      <c r="J96" s="4">
        <v>0</v>
      </c>
      <c r="K96" s="3">
        <v>1</v>
      </c>
      <c r="L96" s="3">
        <v>4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</row>
    <row r="97" spans="2:18" x14ac:dyDescent="0.35">
      <c r="B97" s="2">
        <v>193</v>
      </c>
      <c r="C97" s="4">
        <v>0</v>
      </c>
      <c r="D97" s="4">
        <v>0</v>
      </c>
      <c r="E97" s="4">
        <v>0</v>
      </c>
      <c r="F97" s="3">
        <v>6</v>
      </c>
      <c r="G97" s="4">
        <v>0</v>
      </c>
      <c r="H97" s="3">
        <v>6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</row>
    <row r="98" spans="2:18" x14ac:dyDescent="0.35">
      <c r="B98" s="2">
        <v>194</v>
      </c>
      <c r="C98" s="3">
        <v>1</v>
      </c>
      <c r="D98" s="4">
        <v>0</v>
      </c>
      <c r="E98" s="4">
        <v>0</v>
      </c>
      <c r="F98" s="4">
        <v>0</v>
      </c>
      <c r="G98" s="4">
        <v>0</v>
      </c>
      <c r="H98" s="3">
        <v>2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</row>
    <row r="99" spans="2:18" x14ac:dyDescent="0.35">
      <c r="B99" s="2">
        <v>195</v>
      </c>
      <c r="C99" s="3">
        <v>4</v>
      </c>
      <c r="D99" s="4">
        <v>0</v>
      </c>
      <c r="E99" s="4">
        <v>0</v>
      </c>
      <c r="F99" s="3">
        <v>4</v>
      </c>
      <c r="G99" s="4">
        <v>0</v>
      </c>
      <c r="H99" s="4">
        <v>0</v>
      </c>
      <c r="I99" s="4">
        <v>0</v>
      </c>
      <c r="J99" s="3">
        <v>4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</row>
    <row r="100" spans="2:18" x14ac:dyDescent="0.35">
      <c r="B100" s="2">
        <v>196</v>
      </c>
      <c r="C100" s="4">
        <v>0</v>
      </c>
      <c r="D100" s="4">
        <v>0</v>
      </c>
      <c r="E100" s="3">
        <v>6</v>
      </c>
      <c r="F100" s="4">
        <v>0</v>
      </c>
      <c r="G100" s="4">
        <v>0</v>
      </c>
      <c r="H100" s="4">
        <v>0</v>
      </c>
      <c r="I100" s="4">
        <v>0</v>
      </c>
      <c r="J100" s="3">
        <v>8</v>
      </c>
      <c r="K100" s="4">
        <v>0</v>
      </c>
      <c r="L100" s="4">
        <v>0</v>
      </c>
      <c r="M100" s="3">
        <v>8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</row>
    <row r="101" spans="2:18" x14ac:dyDescent="0.35">
      <c r="B101" s="2">
        <v>197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3">
        <v>3</v>
      </c>
      <c r="J101" s="4">
        <v>0</v>
      </c>
      <c r="K101" s="4">
        <v>0</v>
      </c>
      <c r="L101" s="4">
        <v>0</v>
      </c>
      <c r="M101" s="3">
        <v>5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</row>
    <row r="102" spans="2:18" x14ac:dyDescent="0.35">
      <c r="B102" s="2">
        <v>198</v>
      </c>
      <c r="C102" s="4">
        <v>0</v>
      </c>
      <c r="D102" s="4">
        <v>0</v>
      </c>
      <c r="E102" s="4">
        <v>0</v>
      </c>
      <c r="F102" s="3">
        <v>5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</row>
    <row r="103" spans="2:18" x14ac:dyDescent="0.35">
      <c r="B103" s="2">
        <v>199</v>
      </c>
      <c r="C103" s="4">
        <v>0</v>
      </c>
      <c r="D103" s="3">
        <v>1</v>
      </c>
      <c r="E103" s="3">
        <v>1</v>
      </c>
      <c r="F103" s="4">
        <v>0</v>
      </c>
      <c r="G103" s="3">
        <v>1</v>
      </c>
      <c r="H103" s="4">
        <v>0</v>
      </c>
      <c r="I103" s="4">
        <v>0</v>
      </c>
      <c r="J103" s="4">
        <v>0</v>
      </c>
      <c r="K103" s="3">
        <v>2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</row>
    <row r="104" spans="2:18" x14ac:dyDescent="0.35">
      <c r="B104" s="2">
        <v>200</v>
      </c>
      <c r="C104" s="4">
        <v>0</v>
      </c>
      <c r="D104" s="3">
        <v>2</v>
      </c>
      <c r="E104" s="3">
        <v>2</v>
      </c>
      <c r="F104" s="3">
        <v>2</v>
      </c>
      <c r="G104" s="3">
        <v>2</v>
      </c>
      <c r="H104" s="3">
        <v>2</v>
      </c>
      <c r="I104" s="4">
        <v>0</v>
      </c>
      <c r="J104" s="4">
        <v>0</v>
      </c>
      <c r="K104" s="4">
        <v>0</v>
      </c>
      <c r="L104" s="4">
        <v>0</v>
      </c>
      <c r="M104" s="3">
        <v>4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</row>
    <row r="105" spans="2:18" x14ac:dyDescent="0.35">
      <c r="B105" s="2">
        <v>201</v>
      </c>
      <c r="C105" s="4">
        <v>0</v>
      </c>
      <c r="D105" s="4">
        <v>0</v>
      </c>
      <c r="E105" s="4">
        <v>0</v>
      </c>
      <c r="F105" s="3">
        <v>2</v>
      </c>
      <c r="G105" s="4">
        <v>0</v>
      </c>
      <c r="H105" s="4">
        <v>0</v>
      </c>
      <c r="I105" s="3">
        <v>1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</row>
    <row r="106" spans="2:18" x14ac:dyDescent="0.35">
      <c r="B106" s="2">
        <v>202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</row>
    <row r="107" spans="2:18" x14ac:dyDescent="0.35">
      <c r="B107" s="2">
        <v>203</v>
      </c>
      <c r="C107" s="4">
        <v>0</v>
      </c>
      <c r="D107" s="4">
        <v>0</v>
      </c>
      <c r="E107" s="4">
        <v>0</v>
      </c>
      <c r="F107" s="4">
        <v>0</v>
      </c>
      <c r="G107" s="3">
        <v>1</v>
      </c>
      <c r="H107" s="4">
        <v>0</v>
      </c>
      <c r="I107" s="4">
        <v>0</v>
      </c>
      <c r="J107" s="4">
        <v>0</v>
      </c>
      <c r="K107" s="4">
        <v>0</v>
      </c>
      <c r="L107" s="3">
        <v>4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</row>
    <row r="108" spans="2:18" x14ac:dyDescent="0.35">
      <c r="B108" s="2">
        <v>204</v>
      </c>
      <c r="C108" s="3">
        <v>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3">
        <v>2</v>
      </c>
      <c r="J108" s="3">
        <v>2</v>
      </c>
      <c r="K108" s="4">
        <v>0</v>
      </c>
      <c r="L108" s="3">
        <v>2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</row>
    <row r="109" spans="2:18" x14ac:dyDescent="0.35">
      <c r="B109" s="2">
        <v>205</v>
      </c>
      <c r="C109" s="4">
        <v>0</v>
      </c>
      <c r="D109" s="3">
        <v>1</v>
      </c>
      <c r="E109" s="4">
        <v>0</v>
      </c>
      <c r="F109" s="3">
        <v>1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3">
        <v>2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</row>
    <row r="110" spans="2:18" x14ac:dyDescent="0.35">
      <c r="B110" s="2">
        <v>206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3">
        <v>2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</row>
    <row r="111" spans="2:18" x14ac:dyDescent="0.35">
      <c r="B111" s="2">
        <v>207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3">
        <v>7</v>
      </c>
      <c r="I111" s="4">
        <v>0</v>
      </c>
      <c r="J111" s="4">
        <v>0</v>
      </c>
      <c r="K111" s="5">
        <v>0</v>
      </c>
      <c r="L111" s="5">
        <v>0</v>
      </c>
      <c r="M111" s="5">
        <v>0</v>
      </c>
      <c r="N111" s="5">
        <v>0</v>
      </c>
      <c r="O111" s="4">
        <v>0</v>
      </c>
      <c r="P111" s="4">
        <v>0</v>
      </c>
      <c r="Q111" s="4">
        <v>0</v>
      </c>
      <c r="R111" s="4">
        <v>0</v>
      </c>
    </row>
    <row r="112" spans="2:18" x14ac:dyDescent="0.35">
      <c r="B112" s="2">
        <v>208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3">
        <v>4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</row>
    <row r="113" spans="2:18" x14ac:dyDescent="0.35">
      <c r="B113" s="2">
        <v>209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</row>
    <row r="114" spans="2:18" x14ac:dyDescent="0.35">
      <c r="B114" s="2">
        <v>210</v>
      </c>
      <c r="C114" s="3">
        <v>5</v>
      </c>
      <c r="D114" s="3">
        <v>5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3">
        <v>5</v>
      </c>
      <c r="K114" s="3">
        <v>5</v>
      </c>
      <c r="L114" s="3">
        <v>5</v>
      </c>
      <c r="M114" s="4">
        <v>0</v>
      </c>
      <c r="N114" s="3">
        <v>10</v>
      </c>
      <c r="O114" s="4">
        <v>0</v>
      </c>
      <c r="P114" s="4">
        <v>0</v>
      </c>
      <c r="Q114" s="4">
        <v>0</v>
      </c>
      <c r="R114" s="4">
        <v>0</v>
      </c>
    </row>
    <row r="115" spans="2:18" x14ac:dyDescent="0.35">
      <c r="B115" s="2">
        <v>211</v>
      </c>
      <c r="C115" s="4">
        <v>0</v>
      </c>
      <c r="D115" s="4">
        <v>0</v>
      </c>
      <c r="E115" s="3">
        <v>6</v>
      </c>
      <c r="F115" s="4">
        <v>0</v>
      </c>
      <c r="G115" s="3">
        <v>4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3">
        <v>4</v>
      </c>
      <c r="O115" s="3">
        <v>1</v>
      </c>
      <c r="P115" s="4">
        <v>0</v>
      </c>
      <c r="Q115" s="4">
        <v>0</v>
      </c>
      <c r="R115" s="4">
        <v>0</v>
      </c>
    </row>
    <row r="116" spans="2:18" x14ac:dyDescent="0.35">
      <c r="B116" s="2">
        <v>212</v>
      </c>
      <c r="C116" s="4">
        <v>0</v>
      </c>
      <c r="D116" s="3">
        <v>6</v>
      </c>
      <c r="E116" s="4">
        <v>0</v>
      </c>
      <c r="F116" s="3">
        <v>6</v>
      </c>
      <c r="G116" s="4">
        <v>0</v>
      </c>
      <c r="H116" s="3">
        <v>6</v>
      </c>
      <c r="I116" s="4">
        <v>0</v>
      </c>
      <c r="J116" s="4">
        <v>0</v>
      </c>
      <c r="K116" s="4">
        <v>0</v>
      </c>
      <c r="L116" s="3">
        <v>10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</row>
    <row r="117" spans="2:18" x14ac:dyDescent="0.35">
      <c r="B117" s="2">
        <v>213</v>
      </c>
      <c r="C117" s="4">
        <v>0</v>
      </c>
      <c r="D117" s="4">
        <v>0</v>
      </c>
      <c r="E117" s="4">
        <v>0</v>
      </c>
      <c r="F117" s="3">
        <v>6</v>
      </c>
      <c r="G117" s="4">
        <v>0</v>
      </c>
      <c r="H117" s="4">
        <v>0</v>
      </c>
      <c r="I117" s="3">
        <v>4</v>
      </c>
      <c r="J117" s="3">
        <v>4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</row>
    <row r="118" spans="2:18" x14ac:dyDescent="0.35">
      <c r="B118" s="2">
        <v>214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3">
        <v>2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</row>
    <row r="119" spans="2:18" x14ac:dyDescent="0.35">
      <c r="B119" s="2">
        <v>215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3">
        <v>1</v>
      </c>
      <c r="J119" s="3">
        <v>2</v>
      </c>
      <c r="K119" s="4">
        <v>0</v>
      </c>
      <c r="L119" s="4">
        <v>0</v>
      </c>
      <c r="M119" s="3">
        <v>1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</row>
    <row r="120" spans="2:18" x14ac:dyDescent="0.35">
      <c r="B120" s="2">
        <v>216</v>
      </c>
      <c r="C120" s="3">
        <v>1</v>
      </c>
      <c r="D120" s="3">
        <v>1</v>
      </c>
      <c r="E120" s="4">
        <v>0</v>
      </c>
      <c r="F120" s="4">
        <v>0</v>
      </c>
      <c r="G120" s="4">
        <v>0</v>
      </c>
      <c r="H120" s="3">
        <v>3</v>
      </c>
      <c r="I120" s="3">
        <v>1</v>
      </c>
      <c r="J120" s="3">
        <v>1</v>
      </c>
      <c r="K120" s="4">
        <v>0</v>
      </c>
      <c r="L120" s="4">
        <v>0</v>
      </c>
      <c r="M120" s="4">
        <v>0</v>
      </c>
      <c r="N120" s="4">
        <v>0</v>
      </c>
      <c r="O120" s="3">
        <v>1</v>
      </c>
      <c r="P120" s="4">
        <v>0</v>
      </c>
      <c r="Q120" s="12">
        <v>0</v>
      </c>
      <c r="R120" s="4">
        <v>0</v>
      </c>
    </row>
    <row r="121" spans="2:18" x14ac:dyDescent="0.35">
      <c r="B121" s="2">
        <v>217</v>
      </c>
      <c r="C121" s="4">
        <v>0</v>
      </c>
      <c r="D121" s="4">
        <v>0</v>
      </c>
      <c r="E121" s="4">
        <v>0</v>
      </c>
      <c r="F121" s="3">
        <v>7</v>
      </c>
      <c r="G121" s="4">
        <v>0</v>
      </c>
      <c r="H121" s="4">
        <v>0</v>
      </c>
      <c r="I121" s="4">
        <v>0</v>
      </c>
      <c r="J121" s="3">
        <v>8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</row>
    <row r="122" spans="2:18" x14ac:dyDescent="0.35">
      <c r="B122" s="2">
        <v>218</v>
      </c>
      <c r="C122" s="4">
        <v>0</v>
      </c>
      <c r="D122" s="4">
        <v>0</v>
      </c>
      <c r="E122" s="4">
        <v>0</v>
      </c>
      <c r="F122" s="3">
        <v>10</v>
      </c>
      <c r="G122" s="4">
        <v>0</v>
      </c>
      <c r="H122" s="4">
        <v>0</v>
      </c>
      <c r="I122" s="4">
        <v>0</v>
      </c>
      <c r="J122" s="3">
        <v>10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</row>
    <row r="123" spans="2:18" x14ac:dyDescent="0.35">
      <c r="B123" s="2">
        <v>219</v>
      </c>
      <c r="C123" s="4">
        <v>0</v>
      </c>
      <c r="D123" s="4">
        <v>0</v>
      </c>
      <c r="E123" s="3">
        <v>3</v>
      </c>
      <c r="F123" s="3">
        <v>6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</row>
    <row r="124" spans="2:18" x14ac:dyDescent="0.35">
      <c r="B124" s="2">
        <v>220</v>
      </c>
      <c r="C124" s="4">
        <v>0</v>
      </c>
      <c r="D124" s="4">
        <v>0</v>
      </c>
      <c r="E124" s="4">
        <v>0</v>
      </c>
      <c r="F124" s="3">
        <v>10</v>
      </c>
      <c r="G124" s="4">
        <v>0</v>
      </c>
      <c r="H124" s="4">
        <v>0</v>
      </c>
      <c r="I124" s="3">
        <v>5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</row>
    <row r="125" spans="2:18" x14ac:dyDescent="0.35">
      <c r="B125" s="2">
        <v>221</v>
      </c>
      <c r="C125" s="4">
        <v>0</v>
      </c>
      <c r="D125" s="4">
        <v>0</v>
      </c>
      <c r="E125" s="3">
        <v>1</v>
      </c>
      <c r="F125" s="4">
        <v>0</v>
      </c>
      <c r="G125" s="4">
        <v>0</v>
      </c>
      <c r="H125" s="3">
        <v>2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</row>
    <row r="126" spans="2:18" x14ac:dyDescent="0.35">
      <c r="B126" s="2">
        <v>222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</row>
    <row r="127" spans="2:18" x14ac:dyDescent="0.35">
      <c r="B127" s="2">
        <v>223</v>
      </c>
      <c r="C127" s="4">
        <v>0</v>
      </c>
      <c r="D127" s="4">
        <v>0</v>
      </c>
      <c r="E127" s="4">
        <v>0</v>
      </c>
      <c r="F127" s="3">
        <v>3</v>
      </c>
      <c r="G127" s="4">
        <v>0</v>
      </c>
      <c r="H127" s="3">
        <v>3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</row>
    <row r="128" spans="2:18" x14ac:dyDescent="0.35">
      <c r="B128" s="2">
        <v>224</v>
      </c>
      <c r="C128" s="4">
        <v>0</v>
      </c>
      <c r="D128" s="4">
        <v>0</v>
      </c>
      <c r="E128" s="4">
        <v>0</v>
      </c>
      <c r="F128" s="3">
        <v>3</v>
      </c>
      <c r="G128" s="3">
        <v>2</v>
      </c>
      <c r="H128" s="3">
        <v>3</v>
      </c>
      <c r="I128" s="3">
        <v>2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</row>
    <row r="129" spans="2:18" x14ac:dyDescent="0.35">
      <c r="B129" s="2">
        <v>225</v>
      </c>
      <c r="C129" s="4">
        <v>0</v>
      </c>
      <c r="D129" s="4">
        <v>0</v>
      </c>
      <c r="E129" s="3">
        <v>1</v>
      </c>
      <c r="F129" s="4">
        <v>0</v>
      </c>
      <c r="G129" s="4">
        <v>0</v>
      </c>
      <c r="H129" s="3">
        <v>3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</row>
    <row r="130" spans="2:18" x14ac:dyDescent="0.35">
      <c r="B130" s="2">
        <v>226</v>
      </c>
      <c r="C130" s="4">
        <v>0</v>
      </c>
      <c r="D130" s="3">
        <v>1</v>
      </c>
      <c r="E130" s="3">
        <v>1</v>
      </c>
      <c r="F130" s="4">
        <v>0</v>
      </c>
      <c r="G130" s="4">
        <v>0</v>
      </c>
      <c r="H130" s="4">
        <v>0</v>
      </c>
      <c r="I130" s="3">
        <v>1</v>
      </c>
      <c r="J130" s="3">
        <v>1</v>
      </c>
      <c r="K130" s="4">
        <v>0</v>
      </c>
      <c r="L130" s="4">
        <v>0</v>
      </c>
      <c r="M130" s="4">
        <v>0</v>
      </c>
      <c r="N130" s="3">
        <v>2</v>
      </c>
      <c r="O130" s="4">
        <v>0</v>
      </c>
      <c r="P130" s="4">
        <v>0</v>
      </c>
      <c r="Q130" s="4">
        <v>0</v>
      </c>
      <c r="R130" s="4">
        <v>0</v>
      </c>
    </row>
    <row r="131" spans="2:18" x14ac:dyDescent="0.35">
      <c r="B131" s="2">
        <v>227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3">
        <v>8</v>
      </c>
      <c r="L131" s="4">
        <v>0</v>
      </c>
      <c r="M131" s="4">
        <v>0</v>
      </c>
      <c r="N131" s="3">
        <v>16</v>
      </c>
      <c r="O131" s="4">
        <v>0</v>
      </c>
      <c r="P131" s="4">
        <v>0</v>
      </c>
      <c r="Q131" s="4">
        <v>0</v>
      </c>
      <c r="R131" s="4">
        <v>0</v>
      </c>
    </row>
    <row r="132" spans="2:18" x14ac:dyDescent="0.35">
      <c r="B132" s="2">
        <v>228</v>
      </c>
      <c r="C132" s="4">
        <v>0</v>
      </c>
      <c r="D132" s="4">
        <v>0</v>
      </c>
      <c r="E132" s="4">
        <v>0</v>
      </c>
      <c r="F132" s="4">
        <v>0</v>
      </c>
      <c r="G132" s="3">
        <v>3</v>
      </c>
      <c r="H132" s="4">
        <v>0</v>
      </c>
      <c r="I132" s="3">
        <v>3</v>
      </c>
      <c r="J132" s="4">
        <v>0</v>
      </c>
      <c r="K132" s="3">
        <v>4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</row>
    <row r="133" spans="2:18" x14ac:dyDescent="0.35">
      <c r="B133" s="2">
        <v>229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3">
        <v>4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</row>
    <row r="134" spans="2:18" x14ac:dyDescent="0.35">
      <c r="B134" s="2">
        <v>230</v>
      </c>
      <c r="C134" s="4">
        <v>0</v>
      </c>
      <c r="D134" s="4">
        <v>0</v>
      </c>
      <c r="E134" s="3">
        <v>6</v>
      </c>
      <c r="F134" s="4">
        <v>0</v>
      </c>
      <c r="G134" s="4">
        <v>0</v>
      </c>
      <c r="H134" s="3">
        <v>4</v>
      </c>
      <c r="I134" s="4">
        <v>0</v>
      </c>
      <c r="J134" s="3">
        <v>4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</row>
    <row r="135" spans="2:18" x14ac:dyDescent="0.35">
      <c r="B135" s="2">
        <v>231</v>
      </c>
      <c r="C135" s="4">
        <v>0</v>
      </c>
      <c r="D135" s="3">
        <v>2</v>
      </c>
      <c r="E135" s="3">
        <v>2</v>
      </c>
      <c r="F135" s="3">
        <v>2</v>
      </c>
      <c r="G135" s="4">
        <v>0</v>
      </c>
      <c r="H135" s="3">
        <v>2</v>
      </c>
      <c r="I135" s="3">
        <v>2</v>
      </c>
      <c r="J135" s="4">
        <v>0</v>
      </c>
      <c r="K135" s="4">
        <v>0</v>
      </c>
      <c r="L135" s="3">
        <v>10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</row>
    <row r="136" spans="2:18" x14ac:dyDescent="0.35">
      <c r="B136" s="2">
        <v>232</v>
      </c>
      <c r="C136" s="4">
        <v>0</v>
      </c>
      <c r="D136" s="3">
        <v>4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3">
        <v>6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</row>
    <row r="137" spans="2:18" x14ac:dyDescent="0.35">
      <c r="B137" s="2">
        <v>233</v>
      </c>
      <c r="C137" s="4">
        <v>0</v>
      </c>
      <c r="D137" s="3">
        <v>2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</row>
    <row r="138" spans="2:18" x14ac:dyDescent="0.35">
      <c r="B138" s="2">
        <v>234</v>
      </c>
      <c r="C138" s="3">
        <v>3</v>
      </c>
      <c r="D138" s="4">
        <v>0</v>
      </c>
      <c r="E138" s="4">
        <v>0</v>
      </c>
      <c r="F138" s="3">
        <v>8</v>
      </c>
      <c r="G138" s="4">
        <v>0</v>
      </c>
      <c r="H138" s="4">
        <v>0</v>
      </c>
      <c r="I138" s="3">
        <v>3</v>
      </c>
      <c r="J138" s="3">
        <v>3</v>
      </c>
      <c r="K138" s="4">
        <v>0</v>
      </c>
      <c r="L138" s="4">
        <v>0</v>
      </c>
      <c r="M138" s="4">
        <v>0</v>
      </c>
      <c r="N138" s="3">
        <v>8</v>
      </c>
      <c r="O138" s="4">
        <v>0</v>
      </c>
      <c r="P138" s="4">
        <v>0</v>
      </c>
      <c r="Q138" s="4">
        <v>0</v>
      </c>
      <c r="R138" s="4">
        <v>0</v>
      </c>
    </row>
    <row r="139" spans="2:18" x14ac:dyDescent="0.35">
      <c r="B139" s="2">
        <v>235</v>
      </c>
      <c r="C139" s="4">
        <v>0</v>
      </c>
      <c r="D139" s="3">
        <v>2</v>
      </c>
      <c r="E139" s="4">
        <v>0</v>
      </c>
      <c r="F139" s="4">
        <v>0</v>
      </c>
      <c r="G139" s="4">
        <v>0</v>
      </c>
      <c r="H139" s="4">
        <v>0</v>
      </c>
      <c r="I139" s="3">
        <v>1</v>
      </c>
      <c r="J139" s="3">
        <v>1</v>
      </c>
      <c r="K139" s="3">
        <v>2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</row>
    <row r="140" spans="2:18" x14ac:dyDescent="0.35">
      <c r="B140" s="2">
        <v>236</v>
      </c>
      <c r="C140" s="3">
        <v>3</v>
      </c>
      <c r="D140" s="3">
        <v>3</v>
      </c>
      <c r="E140" s="4">
        <v>0</v>
      </c>
      <c r="F140" s="4">
        <v>0</v>
      </c>
      <c r="G140" s="4">
        <v>0</v>
      </c>
      <c r="H140" s="3">
        <v>3</v>
      </c>
      <c r="I140" s="4">
        <v>0</v>
      </c>
      <c r="J140" s="3">
        <v>3</v>
      </c>
      <c r="K140" s="3">
        <v>6</v>
      </c>
      <c r="L140" s="3">
        <v>6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</row>
    <row r="141" spans="2:18" x14ac:dyDescent="0.35">
      <c r="B141" s="2">
        <v>237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3">
        <v>1</v>
      </c>
      <c r="K141" s="3">
        <v>3</v>
      </c>
      <c r="L141" s="3">
        <v>3</v>
      </c>
      <c r="M141" s="3">
        <v>6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</row>
    <row r="142" spans="2:18" x14ac:dyDescent="0.35">
      <c r="B142" s="2">
        <v>238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</row>
    <row r="143" spans="2:18" x14ac:dyDescent="0.35">
      <c r="B143" s="2">
        <v>239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3">
        <v>1</v>
      </c>
      <c r="L143" s="4">
        <v>0</v>
      </c>
      <c r="M143" s="3">
        <v>1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</row>
    <row r="144" spans="2:18" x14ac:dyDescent="0.35">
      <c r="B144" s="2">
        <v>240</v>
      </c>
      <c r="C144" s="4">
        <v>0</v>
      </c>
      <c r="D144" s="3">
        <v>3</v>
      </c>
      <c r="E144" s="4">
        <v>0</v>
      </c>
      <c r="F144" s="4">
        <v>0</v>
      </c>
      <c r="G144" s="4">
        <v>0</v>
      </c>
      <c r="H144" s="3">
        <v>3</v>
      </c>
      <c r="I144" s="3">
        <v>3</v>
      </c>
      <c r="J144" s="3">
        <v>2</v>
      </c>
      <c r="K144" s="3">
        <v>4</v>
      </c>
      <c r="L144" s="4">
        <v>0</v>
      </c>
      <c r="M144" s="3">
        <v>4</v>
      </c>
      <c r="N144" s="3">
        <v>5</v>
      </c>
      <c r="O144" s="4">
        <v>0</v>
      </c>
      <c r="P144" s="4">
        <v>0</v>
      </c>
      <c r="Q144" s="4">
        <v>0</v>
      </c>
      <c r="R144" s="4">
        <v>0</v>
      </c>
    </row>
    <row r="145" spans="2:18" x14ac:dyDescent="0.35">
      <c r="B145" s="2">
        <v>241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</row>
    <row r="146" spans="2:18" x14ac:dyDescent="0.35">
      <c r="B146" s="2">
        <v>242</v>
      </c>
      <c r="C146" s="4">
        <v>0</v>
      </c>
      <c r="D146" s="4">
        <v>0</v>
      </c>
      <c r="E146" s="3">
        <v>2</v>
      </c>
      <c r="F146" s="4">
        <v>0</v>
      </c>
      <c r="G146" s="4">
        <v>0</v>
      </c>
      <c r="H146" s="3">
        <v>2</v>
      </c>
      <c r="I146" s="4">
        <v>0</v>
      </c>
      <c r="J146" s="3">
        <v>2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</row>
    <row r="147" spans="2:18" x14ac:dyDescent="0.35">
      <c r="B147" s="2">
        <v>243</v>
      </c>
      <c r="C147" s="4">
        <v>0</v>
      </c>
      <c r="D147" s="4">
        <v>0</v>
      </c>
      <c r="E147" s="3">
        <v>1</v>
      </c>
      <c r="F147" s="3">
        <v>1</v>
      </c>
      <c r="G147" s="3">
        <v>1</v>
      </c>
      <c r="H147" s="3">
        <v>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</row>
    <row r="148" spans="2:18" x14ac:dyDescent="0.35">
      <c r="B148" s="2">
        <v>244</v>
      </c>
      <c r="C148" s="3">
        <v>2</v>
      </c>
      <c r="D148" s="4">
        <v>0</v>
      </c>
      <c r="E148" s="4">
        <v>0</v>
      </c>
      <c r="F148" s="4">
        <v>0</v>
      </c>
      <c r="G148" s="3">
        <v>2</v>
      </c>
      <c r="H148" s="4">
        <v>0</v>
      </c>
      <c r="I148" s="4">
        <v>0</v>
      </c>
      <c r="J148" s="4">
        <v>0</v>
      </c>
      <c r="K148" s="4">
        <v>0</v>
      </c>
      <c r="L148" s="3">
        <v>2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</row>
    <row r="149" spans="2:18" x14ac:dyDescent="0.35">
      <c r="B149" s="2">
        <v>245</v>
      </c>
      <c r="C149" s="4">
        <v>0</v>
      </c>
      <c r="D149" s="4">
        <v>0</v>
      </c>
      <c r="E149" s="3">
        <v>4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3">
        <v>4</v>
      </c>
      <c r="L149" s="4">
        <v>0</v>
      </c>
      <c r="M149" s="4">
        <v>0</v>
      </c>
      <c r="N149" s="3">
        <v>4</v>
      </c>
      <c r="O149" s="4">
        <v>0</v>
      </c>
      <c r="P149" s="4">
        <v>0</v>
      </c>
      <c r="Q149" s="4">
        <v>0</v>
      </c>
      <c r="R149" s="4">
        <v>0</v>
      </c>
    </row>
    <row r="150" spans="2:18" x14ac:dyDescent="0.35">
      <c r="B150" s="2">
        <v>246</v>
      </c>
      <c r="C150" s="4">
        <v>0</v>
      </c>
      <c r="D150" s="4">
        <v>0</v>
      </c>
      <c r="E150" s="4">
        <v>0</v>
      </c>
      <c r="F150" s="3">
        <v>3</v>
      </c>
      <c r="G150" s="4">
        <v>0</v>
      </c>
      <c r="H150" s="4">
        <v>0</v>
      </c>
      <c r="I150" s="3">
        <v>3</v>
      </c>
      <c r="J150" s="4">
        <v>0</v>
      </c>
      <c r="K150" s="3">
        <v>3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</row>
    <row r="151" spans="2:18" x14ac:dyDescent="0.35">
      <c r="B151" s="2">
        <v>247</v>
      </c>
      <c r="C151" s="3">
        <v>1</v>
      </c>
      <c r="D151" s="3">
        <v>2</v>
      </c>
      <c r="E151" s="4">
        <v>0</v>
      </c>
      <c r="F151" s="4">
        <v>0</v>
      </c>
      <c r="G151" s="4">
        <v>0</v>
      </c>
      <c r="H151" s="4">
        <v>0</v>
      </c>
      <c r="I151" s="3">
        <v>1</v>
      </c>
      <c r="J151" s="4">
        <v>0</v>
      </c>
      <c r="K151" s="3">
        <v>4</v>
      </c>
      <c r="L151" s="4">
        <v>0</v>
      </c>
      <c r="M151" s="4">
        <v>0</v>
      </c>
      <c r="N151" s="4">
        <v>0</v>
      </c>
      <c r="O151" s="3">
        <v>1</v>
      </c>
      <c r="P151" s="4">
        <v>0</v>
      </c>
      <c r="Q151" s="4">
        <v>0</v>
      </c>
      <c r="R151" s="4">
        <v>0</v>
      </c>
    </row>
    <row r="152" spans="2:18" x14ac:dyDescent="0.35">
      <c r="B152" s="2">
        <v>248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</row>
    <row r="153" spans="2:18" x14ac:dyDescent="0.35">
      <c r="B153" s="2">
        <v>249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3">
        <v>10</v>
      </c>
      <c r="I153" s="4">
        <v>0</v>
      </c>
      <c r="J153" s="4">
        <v>0</v>
      </c>
      <c r="K153" s="4">
        <v>0</v>
      </c>
      <c r="L153" s="4">
        <v>0</v>
      </c>
      <c r="M153" s="3">
        <v>10</v>
      </c>
      <c r="N153" s="4">
        <v>0</v>
      </c>
      <c r="O153" s="3">
        <v>3</v>
      </c>
      <c r="P153" s="4">
        <v>0</v>
      </c>
      <c r="Q153" s="4">
        <v>0</v>
      </c>
      <c r="R153" s="4">
        <v>0</v>
      </c>
    </row>
    <row r="154" spans="2:18" x14ac:dyDescent="0.35">
      <c r="B154" s="2">
        <v>250</v>
      </c>
      <c r="C154" s="3">
        <v>2</v>
      </c>
      <c r="D154" s="4">
        <v>0</v>
      </c>
      <c r="E154" s="3">
        <v>2</v>
      </c>
      <c r="F154" s="4">
        <v>0</v>
      </c>
      <c r="G154" s="4">
        <v>0</v>
      </c>
      <c r="H154" s="3">
        <v>2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</row>
    <row r="155" spans="2:18" x14ac:dyDescent="0.35">
      <c r="B155" s="2">
        <v>251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</row>
    <row r="156" spans="2:18" x14ac:dyDescent="0.35">
      <c r="B156" s="2">
        <v>252</v>
      </c>
      <c r="C156" s="4">
        <v>0</v>
      </c>
      <c r="D156" s="4">
        <v>0</v>
      </c>
      <c r="E156" s="4">
        <v>0</v>
      </c>
      <c r="F156" s="4">
        <v>0</v>
      </c>
      <c r="G156" s="3">
        <v>3</v>
      </c>
      <c r="H156" s="4">
        <v>0</v>
      </c>
      <c r="I156" s="3">
        <v>3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</row>
    <row r="157" spans="2:18" x14ac:dyDescent="0.35">
      <c r="B157" s="2">
        <v>253</v>
      </c>
      <c r="C157" s="4">
        <v>0</v>
      </c>
      <c r="D157" s="4">
        <v>0</v>
      </c>
      <c r="E157" s="3">
        <v>1</v>
      </c>
      <c r="F157" s="4">
        <v>0</v>
      </c>
      <c r="G157" s="4">
        <v>0</v>
      </c>
      <c r="H157" s="3">
        <v>1</v>
      </c>
      <c r="I157" s="4">
        <v>0</v>
      </c>
      <c r="J157" s="4">
        <v>0</v>
      </c>
      <c r="K157" s="3">
        <v>1</v>
      </c>
      <c r="L157" s="3">
        <v>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</row>
    <row r="158" spans="2:18" x14ac:dyDescent="0.35">
      <c r="B158" s="2">
        <v>254</v>
      </c>
      <c r="C158" s="3">
        <v>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3">
        <v>3</v>
      </c>
      <c r="O158" s="4">
        <v>0</v>
      </c>
      <c r="P158" s="4">
        <v>0</v>
      </c>
      <c r="Q158" s="4">
        <v>0</v>
      </c>
      <c r="R158" s="4">
        <v>0</v>
      </c>
    </row>
    <row r="159" spans="2:18" x14ac:dyDescent="0.35">
      <c r="B159" s="2">
        <v>255</v>
      </c>
      <c r="C159" s="4">
        <v>0</v>
      </c>
      <c r="D159" s="3">
        <v>1</v>
      </c>
      <c r="E159" s="4">
        <v>0</v>
      </c>
      <c r="F159" s="3">
        <v>2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</row>
    <row r="160" spans="2:18" x14ac:dyDescent="0.35">
      <c r="B160" s="2">
        <v>256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3">
        <v>2</v>
      </c>
      <c r="I160" s="3">
        <v>2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</row>
    <row r="161" spans="2:18" x14ac:dyDescent="0.35">
      <c r="B161" s="2">
        <v>257</v>
      </c>
      <c r="C161" s="3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3">
        <v>2</v>
      </c>
      <c r="J161" s="3">
        <v>3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</row>
    <row r="162" spans="2:18" x14ac:dyDescent="0.35">
      <c r="B162" s="2">
        <v>258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3">
        <v>3</v>
      </c>
      <c r="J162" s="3">
        <v>4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</row>
    <row r="163" spans="2:18" x14ac:dyDescent="0.35">
      <c r="B163" s="2">
        <v>259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3">
        <v>3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</row>
    <row r="164" spans="2:18" x14ac:dyDescent="0.35">
      <c r="B164" s="2">
        <v>260</v>
      </c>
      <c r="C164" s="4">
        <v>0</v>
      </c>
      <c r="D164" s="3">
        <v>3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3">
        <v>6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</row>
    <row r="165" spans="2:18" x14ac:dyDescent="0.35">
      <c r="B165" s="2">
        <v>261</v>
      </c>
      <c r="C165" s="4">
        <v>0</v>
      </c>
      <c r="D165" s="4">
        <v>0</v>
      </c>
      <c r="E165" s="3">
        <v>2</v>
      </c>
      <c r="F165" s="3">
        <v>1</v>
      </c>
      <c r="G165" s="3">
        <v>2</v>
      </c>
      <c r="H165" s="3">
        <v>1</v>
      </c>
      <c r="I165" s="4">
        <v>0</v>
      </c>
      <c r="J165" s="3">
        <v>2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</row>
    <row r="166" spans="2:18" x14ac:dyDescent="0.35">
      <c r="B166" s="2">
        <v>262</v>
      </c>
      <c r="C166" s="4">
        <v>0</v>
      </c>
      <c r="D166" s="4">
        <v>0</v>
      </c>
      <c r="E166" s="4">
        <v>0</v>
      </c>
      <c r="F166" s="3">
        <v>1</v>
      </c>
      <c r="G166" s="3">
        <v>1</v>
      </c>
      <c r="H166" s="3">
        <v>1</v>
      </c>
      <c r="I166" s="3">
        <v>1</v>
      </c>
      <c r="J166" s="3">
        <v>1</v>
      </c>
      <c r="K166" s="4">
        <v>0</v>
      </c>
      <c r="L166" s="4">
        <v>0</v>
      </c>
      <c r="M166" s="3">
        <v>2</v>
      </c>
      <c r="N166" s="3">
        <v>4</v>
      </c>
      <c r="O166" s="4">
        <v>0</v>
      </c>
      <c r="P166" s="4">
        <v>0</v>
      </c>
      <c r="Q166" s="4">
        <v>0</v>
      </c>
      <c r="R166" s="4">
        <v>0</v>
      </c>
    </row>
    <row r="167" spans="2:18" x14ac:dyDescent="0.35">
      <c r="B167" s="2">
        <v>263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3">
        <v>13</v>
      </c>
      <c r="O167" s="4">
        <v>0</v>
      </c>
      <c r="P167" s="4">
        <v>0</v>
      </c>
      <c r="Q167" s="4">
        <v>0</v>
      </c>
      <c r="R167" s="4">
        <v>0</v>
      </c>
    </row>
    <row r="168" spans="2:18" x14ac:dyDescent="0.35">
      <c r="B168" s="2">
        <v>264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</row>
    <row r="169" spans="2:18" x14ac:dyDescent="0.35">
      <c r="B169" s="2">
        <v>265</v>
      </c>
      <c r="C169" s="4">
        <v>0</v>
      </c>
      <c r="D169" s="4">
        <v>0</v>
      </c>
      <c r="E169" s="4">
        <v>0</v>
      </c>
      <c r="F169" s="3">
        <v>4</v>
      </c>
      <c r="G169" s="3">
        <v>2</v>
      </c>
      <c r="H169" s="3">
        <v>2</v>
      </c>
      <c r="I169" s="4">
        <v>0</v>
      </c>
      <c r="J169" s="4">
        <v>0</v>
      </c>
      <c r="K169" s="4">
        <v>0</v>
      </c>
      <c r="L169" s="3">
        <v>5</v>
      </c>
      <c r="M169" s="3">
        <v>5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</row>
    <row r="170" spans="2:18" x14ac:dyDescent="0.35">
      <c r="B170" s="2">
        <v>266</v>
      </c>
      <c r="C170" s="3">
        <v>3</v>
      </c>
      <c r="D170" s="3">
        <v>2</v>
      </c>
      <c r="E170" s="4">
        <v>0</v>
      </c>
      <c r="F170" s="3">
        <v>3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3">
        <v>4</v>
      </c>
      <c r="M170" s="3">
        <v>5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</row>
    <row r="171" spans="2:18" x14ac:dyDescent="0.35">
      <c r="B171" s="2">
        <v>267</v>
      </c>
      <c r="C171" s="4">
        <v>0</v>
      </c>
      <c r="D171" s="3">
        <v>3</v>
      </c>
      <c r="E171" s="4">
        <v>0</v>
      </c>
      <c r="F171" s="3">
        <v>3</v>
      </c>
      <c r="G171" s="4">
        <v>0</v>
      </c>
      <c r="H171" s="4">
        <v>0</v>
      </c>
      <c r="I171" s="3">
        <v>3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</row>
    <row r="172" spans="2:18" x14ac:dyDescent="0.35">
      <c r="B172" s="2">
        <v>268</v>
      </c>
      <c r="C172" s="4">
        <v>0</v>
      </c>
      <c r="D172" s="4">
        <v>0</v>
      </c>
      <c r="E172" s="3">
        <v>4</v>
      </c>
      <c r="F172" s="4">
        <v>0</v>
      </c>
      <c r="G172" s="4">
        <v>0</v>
      </c>
      <c r="H172" s="4">
        <v>0</v>
      </c>
      <c r="I172" s="3">
        <v>6</v>
      </c>
      <c r="J172" s="4">
        <v>0</v>
      </c>
      <c r="K172" s="4">
        <v>0</v>
      </c>
      <c r="L172" s="4">
        <v>0</v>
      </c>
      <c r="M172" s="4">
        <v>0</v>
      </c>
      <c r="N172" s="3">
        <v>18</v>
      </c>
      <c r="O172" s="4">
        <v>0</v>
      </c>
      <c r="P172" s="4">
        <v>0</v>
      </c>
      <c r="Q172" s="4">
        <v>0</v>
      </c>
      <c r="R172" s="4">
        <v>0</v>
      </c>
    </row>
    <row r="173" spans="2:18" x14ac:dyDescent="0.35">
      <c r="B173" s="2">
        <v>269</v>
      </c>
      <c r="C173" s="3">
        <v>4</v>
      </c>
      <c r="D173" s="3">
        <v>4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3">
        <v>2</v>
      </c>
      <c r="P173" s="4">
        <v>0</v>
      </c>
      <c r="Q173" s="4">
        <v>0</v>
      </c>
      <c r="R173" s="4">
        <v>0</v>
      </c>
    </row>
    <row r="174" spans="2:18" x14ac:dyDescent="0.35">
      <c r="B174" s="2">
        <v>270</v>
      </c>
      <c r="C174" s="3">
        <v>2</v>
      </c>
      <c r="D174" s="4">
        <v>0</v>
      </c>
      <c r="E174" s="3">
        <v>4</v>
      </c>
      <c r="F174" s="3">
        <v>3</v>
      </c>
      <c r="G174" s="4">
        <v>0</v>
      </c>
      <c r="H174" s="4">
        <v>0</v>
      </c>
      <c r="I174" s="3">
        <v>3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</row>
    <row r="175" spans="2:18" x14ac:dyDescent="0.35">
      <c r="B175" s="2">
        <v>271</v>
      </c>
      <c r="C175" s="4">
        <v>0</v>
      </c>
      <c r="D175" s="4">
        <v>0</v>
      </c>
      <c r="E175" s="3">
        <v>10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</row>
    <row r="176" spans="2:18" x14ac:dyDescent="0.35">
      <c r="B176" s="2">
        <v>272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3">
        <v>2</v>
      </c>
      <c r="L176" s="3">
        <v>2</v>
      </c>
      <c r="M176" s="3">
        <v>2</v>
      </c>
      <c r="N176" s="3">
        <v>2</v>
      </c>
      <c r="O176" s="4">
        <v>0</v>
      </c>
      <c r="P176" s="4">
        <v>0</v>
      </c>
      <c r="Q176" s="4">
        <v>0</v>
      </c>
      <c r="R176" s="4">
        <v>0</v>
      </c>
    </row>
    <row r="177" spans="2:18" x14ac:dyDescent="0.35">
      <c r="B177" s="2">
        <v>273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</row>
    <row r="178" spans="2:18" x14ac:dyDescent="0.35">
      <c r="B178" s="2">
        <v>274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3">
        <v>9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</row>
    <row r="179" spans="2:18" x14ac:dyDescent="0.35">
      <c r="B179" s="2">
        <v>275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</row>
    <row r="180" spans="2:18" x14ac:dyDescent="0.35">
      <c r="B180" s="2">
        <v>276</v>
      </c>
      <c r="C180" s="4">
        <v>0</v>
      </c>
      <c r="D180" s="4">
        <v>0</v>
      </c>
      <c r="E180" s="4">
        <v>0</v>
      </c>
      <c r="F180" s="3">
        <v>3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</row>
    <row r="181" spans="2:18" x14ac:dyDescent="0.35">
      <c r="B181" s="2">
        <v>277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2:18" x14ac:dyDescent="0.35">
      <c r="B182" s="2">
        <v>278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2:18" x14ac:dyDescent="0.35">
      <c r="B183" s="2">
        <v>279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2:18" x14ac:dyDescent="0.35">
      <c r="B184" s="2">
        <v>280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2:18" x14ac:dyDescent="0.35">
      <c r="B185" s="2">
        <v>281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2:18" x14ac:dyDescent="0.35">
      <c r="B186" s="2">
        <v>282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2:18" x14ac:dyDescent="0.35">
      <c r="B187" s="2">
        <v>283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2:18" x14ac:dyDescent="0.35">
      <c r="B188" s="2">
        <v>284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2:18" x14ac:dyDescent="0.35">
      <c r="B189" s="2">
        <v>285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2:18" x14ac:dyDescent="0.35">
      <c r="B190" s="2">
        <v>286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2:18" x14ac:dyDescent="0.35">
      <c r="B191" s="2">
        <v>287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2:18" x14ac:dyDescent="0.35">
      <c r="B192" s="2">
        <v>288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9" x14ac:dyDescent="0.35">
      <c r="B193" s="2">
        <v>289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9" x14ac:dyDescent="0.35">
      <c r="B194" s="2">
        <v>290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9" x14ac:dyDescent="0.35">
      <c r="B195" s="2">
        <v>291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9" x14ac:dyDescent="0.35">
      <c r="B196" s="2">
        <v>292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11"/>
    </row>
    <row r="197" spans="1:19" x14ac:dyDescent="0.35">
      <c r="B197" s="2">
        <v>293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9" x14ac:dyDescent="0.35">
      <c r="B198" s="2">
        <v>294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9" x14ac:dyDescent="0.35">
      <c r="B199" s="2">
        <v>295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9" x14ac:dyDescent="0.35">
      <c r="B200" s="2">
        <v>296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9" x14ac:dyDescent="0.35">
      <c r="B201" s="2">
        <v>297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9" x14ac:dyDescent="0.35">
      <c r="B202" s="2">
        <v>298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9" x14ac:dyDescent="0.35">
      <c r="B203" s="2">
        <v>299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9" x14ac:dyDescent="0.35">
      <c r="B204" s="2">
        <v>300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9" ht="15" thickBot="1" x14ac:dyDescent="0.4">
      <c r="B205" s="2">
        <v>301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9" ht="15" thickBot="1" x14ac:dyDescent="0.4">
      <c r="A206" s="17" t="s">
        <v>1</v>
      </c>
      <c r="B206" s="18"/>
      <c r="C206" s="9">
        <f t="shared" ref="C206:R206" si="0">SUM(C4:C205)</f>
        <v>66</v>
      </c>
      <c r="D206" s="9">
        <f t="shared" si="0"/>
        <v>120</v>
      </c>
      <c r="E206" s="9">
        <f t="shared" si="0"/>
        <v>151</v>
      </c>
      <c r="F206" s="9">
        <f t="shared" si="0"/>
        <v>219</v>
      </c>
      <c r="G206" s="9">
        <f t="shared" si="0"/>
        <v>66</v>
      </c>
      <c r="H206" s="9">
        <f t="shared" si="0"/>
        <v>193</v>
      </c>
      <c r="I206" s="9">
        <f t="shared" si="0"/>
        <v>114</v>
      </c>
      <c r="J206" s="9">
        <f t="shared" si="0"/>
        <v>147</v>
      </c>
      <c r="K206" s="9">
        <f t="shared" si="0"/>
        <v>108</v>
      </c>
      <c r="L206" s="9">
        <f t="shared" si="0"/>
        <v>117</v>
      </c>
      <c r="M206" s="9">
        <f t="shared" si="0"/>
        <v>138</v>
      </c>
      <c r="N206" s="9">
        <f t="shared" si="0"/>
        <v>143</v>
      </c>
      <c r="O206" s="9">
        <f t="shared" si="0"/>
        <v>19</v>
      </c>
      <c r="P206" s="9">
        <f t="shared" si="0"/>
        <v>7</v>
      </c>
      <c r="Q206" s="9">
        <f t="shared" si="0"/>
        <v>4</v>
      </c>
      <c r="R206" s="10">
        <f t="shared" si="0"/>
        <v>0</v>
      </c>
    </row>
    <row r="207" spans="1:19" x14ac:dyDescent="0.35">
      <c r="A207" t="s">
        <v>29</v>
      </c>
      <c r="B207">
        <v>1</v>
      </c>
      <c r="C207">
        <f t="shared" ref="C207:C228" si="1">COUNTIF($C$4:$C$205, $B207)</f>
        <v>8</v>
      </c>
      <c r="D207">
        <f t="shared" ref="D207:D229" si="2">COUNTIF($D$4:$D$205, $B207)</f>
        <v>7</v>
      </c>
      <c r="E207">
        <f t="shared" ref="E207:E226" si="3">COUNTIF($E$4:$E$205, $B207)</f>
        <v>8</v>
      </c>
      <c r="F207">
        <f t="shared" ref="F207:F228" si="4">COUNTIF($F$4:$F$205, $B207)</f>
        <v>6</v>
      </c>
      <c r="G207">
        <f t="shared" ref="G207:G227" si="5">COUNTIF($G$4:$G$205, $B207)</f>
        <v>9</v>
      </c>
      <c r="H207">
        <f t="shared" ref="H207:H227" si="6">COUNTIF($H$4:$H$205, $B207)</f>
        <v>4</v>
      </c>
      <c r="I207">
        <f t="shared" ref="I207:I228" si="7">COUNTIF($I$4:$I$205, $B207)</f>
        <v>8</v>
      </c>
      <c r="J207">
        <f t="shared" ref="J207:J228" si="8">COUNTIF($J$4:$J$205, $B207)</f>
        <v>8</v>
      </c>
      <c r="K207">
        <f t="shared" ref="K207:K228" si="9">COUNTIF($K$4:$K$205, $B207)</f>
        <v>3</v>
      </c>
      <c r="L207">
        <f t="shared" ref="L207:L228" si="10">COUNTIF($L$4:$L$205, $B207)</f>
        <v>1</v>
      </c>
      <c r="M207">
        <f t="shared" ref="M207:M229" si="11">COUNTIF($M$4:$M$205, $B207)</f>
        <v>3</v>
      </c>
      <c r="N207">
        <f t="shared" ref="N207:N228" si="12">COUNTIF($N$4:$N$205, $B207)</f>
        <v>0</v>
      </c>
      <c r="O207">
        <f t="shared" ref="O207:O227" si="13">COUNTIF($O$4:$O$205, $B207)</f>
        <v>12</v>
      </c>
      <c r="P207">
        <f t="shared" ref="P207:P228" si="14">COUNTIF($P$4:$P$205, $B207)</f>
        <v>0</v>
      </c>
      <c r="Q207">
        <f t="shared" ref="Q207:Q226" si="15">COUNTIF($Q$4:$Q$205, $B207)</f>
        <v>0</v>
      </c>
      <c r="R207">
        <f t="shared" ref="R207:R229" si="16">COUNTIF($R$4:$R$205, $B207)</f>
        <v>0</v>
      </c>
    </row>
    <row r="208" spans="1:19" x14ac:dyDescent="0.35">
      <c r="A208" t="s">
        <v>29</v>
      </c>
      <c r="B208">
        <v>2</v>
      </c>
      <c r="C208">
        <f t="shared" si="1"/>
        <v>12</v>
      </c>
      <c r="D208">
        <f t="shared" si="2"/>
        <v>13</v>
      </c>
      <c r="E208">
        <f t="shared" si="3"/>
        <v>12</v>
      </c>
      <c r="F208">
        <f t="shared" si="4"/>
        <v>10</v>
      </c>
      <c r="G208">
        <f t="shared" si="5"/>
        <v>12</v>
      </c>
      <c r="H208">
        <f t="shared" si="6"/>
        <v>20</v>
      </c>
      <c r="I208">
        <f t="shared" si="7"/>
        <v>14</v>
      </c>
      <c r="J208">
        <f t="shared" si="8"/>
        <v>15</v>
      </c>
      <c r="K208">
        <f t="shared" si="9"/>
        <v>6</v>
      </c>
      <c r="L208">
        <f t="shared" si="10"/>
        <v>6</v>
      </c>
      <c r="M208">
        <f t="shared" si="11"/>
        <v>9</v>
      </c>
      <c r="N208">
        <f t="shared" si="12"/>
        <v>5</v>
      </c>
      <c r="O208">
        <f t="shared" si="13"/>
        <v>2</v>
      </c>
      <c r="P208">
        <f t="shared" si="14"/>
        <v>0</v>
      </c>
      <c r="Q208">
        <f t="shared" si="15"/>
        <v>0</v>
      </c>
      <c r="R208">
        <f t="shared" si="16"/>
        <v>0</v>
      </c>
    </row>
    <row r="209" spans="1:18" x14ac:dyDescent="0.35">
      <c r="A209" t="s">
        <v>29</v>
      </c>
      <c r="B209">
        <v>3</v>
      </c>
      <c r="C209">
        <f t="shared" si="1"/>
        <v>4</v>
      </c>
      <c r="D209">
        <f t="shared" si="2"/>
        <v>9</v>
      </c>
      <c r="E209">
        <f t="shared" si="3"/>
        <v>8</v>
      </c>
      <c r="F209">
        <f t="shared" si="4"/>
        <v>10</v>
      </c>
      <c r="G209">
        <f t="shared" si="5"/>
        <v>4</v>
      </c>
      <c r="H209">
        <f t="shared" si="6"/>
        <v>11</v>
      </c>
      <c r="I209">
        <f t="shared" si="7"/>
        <v>10</v>
      </c>
      <c r="J209">
        <f t="shared" si="8"/>
        <v>7</v>
      </c>
      <c r="K209">
        <f t="shared" si="9"/>
        <v>3</v>
      </c>
      <c r="L209">
        <f t="shared" si="10"/>
        <v>3</v>
      </c>
      <c r="M209">
        <f t="shared" si="11"/>
        <v>3</v>
      </c>
      <c r="N209">
        <f t="shared" si="12"/>
        <v>3</v>
      </c>
      <c r="O209">
        <f t="shared" si="13"/>
        <v>1</v>
      </c>
      <c r="P209">
        <f t="shared" si="14"/>
        <v>0</v>
      </c>
      <c r="Q209">
        <f t="shared" si="15"/>
        <v>0</v>
      </c>
      <c r="R209">
        <f t="shared" si="16"/>
        <v>0</v>
      </c>
    </row>
    <row r="210" spans="1:18" x14ac:dyDescent="0.35">
      <c r="A210" t="s">
        <v>29</v>
      </c>
      <c r="B210">
        <v>4</v>
      </c>
      <c r="C210">
        <f t="shared" si="1"/>
        <v>2</v>
      </c>
      <c r="D210">
        <f t="shared" si="2"/>
        <v>6</v>
      </c>
      <c r="E210">
        <f t="shared" si="3"/>
        <v>5</v>
      </c>
      <c r="F210">
        <f t="shared" si="4"/>
        <v>11</v>
      </c>
      <c r="G210">
        <f t="shared" si="5"/>
        <v>1</v>
      </c>
      <c r="H210">
        <f t="shared" si="6"/>
        <v>7</v>
      </c>
      <c r="I210">
        <f t="shared" si="7"/>
        <v>3</v>
      </c>
      <c r="J210">
        <f t="shared" si="8"/>
        <v>8</v>
      </c>
      <c r="K210">
        <f t="shared" si="9"/>
        <v>8</v>
      </c>
      <c r="L210">
        <f t="shared" si="10"/>
        <v>4</v>
      </c>
      <c r="M210">
        <f t="shared" si="11"/>
        <v>4</v>
      </c>
      <c r="N210">
        <f t="shared" si="12"/>
        <v>4</v>
      </c>
      <c r="O210">
        <f t="shared" si="13"/>
        <v>0</v>
      </c>
      <c r="P210">
        <f t="shared" si="14"/>
        <v>0</v>
      </c>
      <c r="Q210">
        <f t="shared" si="15"/>
        <v>1</v>
      </c>
      <c r="R210">
        <f t="shared" si="16"/>
        <v>0</v>
      </c>
    </row>
    <row r="211" spans="1:18" x14ac:dyDescent="0.35">
      <c r="A211" t="s">
        <v>29</v>
      </c>
      <c r="B211">
        <v>5</v>
      </c>
      <c r="C211">
        <f t="shared" si="1"/>
        <v>1</v>
      </c>
      <c r="D211">
        <f t="shared" si="2"/>
        <v>2</v>
      </c>
      <c r="E211">
        <f t="shared" si="3"/>
        <v>0</v>
      </c>
      <c r="F211">
        <f t="shared" si="4"/>
        <v>3</v>
      </c>
      <c r="G211">
        <f t="shared" si="5"/>
        <v>1</v>
      </c>
      <c r="H211">
        <f t="shared" si="6"/>
        <v>3</v>
      </c>
      <c r="I211">
        <f t="shared" si="7"/>
        <v>1</v>
      </c>
      <c r="J211">
        <f t="shared" si="8"/>
        <v>2</v>
      </c>
      <c r="K211">
        <f t="shared" si="9"/>
        <v>2</v>
      </c>
      <c r="L211">
        <f t="shared" si="10"/>
        <v>3</v>
      </c>
      <c r="M211">
        <f t="shared" si="11"/>
        <v>4</v>
      </c>
      <c r="N211">
        <f t="shared" si="12"/>
        <v>1</v>
      </c>
      <c r="O211">
        <f t="shared" si="13"/>
        <v>0</v>
      </c>
      <c r="P211">
        <f t="shared" si="14"/>
        <v>0</v>
      </c>
      <c r="Q211">
        <f t="shared" si="15"/>
        <v>0</v>
      </c>
      <c r="R211">
        <f t="shared" si="16"/>
        <v>0</v>
      </c>
    </row>
    <row r="212" spans="1:18" x14ac:dyDescent="0.35">
      <c r="A212" t="s">
        <v>29</v>
      </c>
      <c r="B212">
        <v>6</v>
      </c>
      <c r="C212">
        <f t="shared" si="1"/>
        <v>0</v>
      </c>
      <c r="D212">
        <f t="shared" si="2"/>
        <v>3</v>
      </c>
      <c r="E212">
        <f t="shared" si="3"/>
        <v>4</v>
      </c>
      <c r="F212">
        <f t="shared" si="4"/>
        <v>6</v>
      </c>
      <c r="G212">
        <f t="shared" si="5"/>
        <v>2</v>
      </c>
      <c r="H212">
        <f t="shared" si="6"/>
        <v>3</v>
      </c>
      <c r="I212">
        <f t="shared" si="7"/>
        <v>1</v>
      </c>
      <c r="J212">
        <f t="shared" si="8"/>
        <v>0</v>
      </c>
      <c r="K212">
        <f t="shared" si="9"/>
        <v>3</v>
      </c>
      <c r="L212">
        <f t="shared" si="10"/>
        <v>6</v>
      </c>
      <c r="M212">
        <f t="shared" si="11"/>
        <v>2</v>
      </c>
      <c r="N212">
        <f t="shared" si="12"/>
        <v>2</v>
      </c>
      <c r="O212">
        <f t="shared" si="13"/>
        <v>0</v>
      </c>
      <c r="P212">
        <f t="shared" si="14"/>
        <v>0</v>
      </c>
      <c r="Q212">
        <f t="shared" si="15"/>
        <v>0</v>
      </c>
      <c r="R212">
        <f t="shared" si="16"/>
        <v>0</v>
      </c>
    </row>
    <row r="213" spans="1:18" x14ac:dyDescent="0.35">
      <c r="A213" t="s">
        <v>29</v>
      </c>
      <c r="B213">
        <v>7</v>
      </c>
      <c r="C213">
        <f t="shared" si="1"/>
        <v>0</v>
      </c>
      <c r="D213">
        <f t="shared" si="2"/>
        <v>0</v>
      </c>
      <c r="E213">
        <f t="shared" si="3"/>
        <v>1</v>
      </c>
      <c r="F213">
        <f t="shared" si="4"/>
        <v>1</v>
      </c>
      <c r="G213">
        <f t="shared" si="5"/>
        <v>0</v>
      </c>
      <c r="H213">
        <f t="shared" si="6"/>
        <v>1</v>
      </c>
      <c r="I213">
        <f t="shared" si="7"/>
        <v>0</v>
      </c>
      <c r="J213">
        <f t="shared" si="8"/>
        <v>0</v>
      </c>
      <c r="K213">
        <f t="shared" si="9"/>
        <v>0</v>
      </c>
      <c r="L213">
        <f t="shared" si="10"/>
        <v>0</v>
      </c>
      <c r="M213">
        <f t="shared" si="11"/>
        <v>0</v>
      </c>
      <c r="N213">
        <f t="shared" si="12"/>
        <v>0</v>
      </c>
      <c r="O213">
        <f t="shared" si="13"/>
        <v>0</v>
      </c>
      <c r="P213">
        <f t="shared" si="14"/>
        <v>1</v>
      </c>
      <c r="Q213">
        <f t="shared" si="15"/>
        <v>0</v>
      </c>
      <c r="R213">
        <f t="shared" si="16"/>
        <v>0</v>
      </c>
    </row>
    <row r="214" spans="1:18" x14ac:dyDescent="0.35">
      <c r="A214" t="s">
        <v>29</v>
      </c>
      <c r="B214">
        <v>8</v>
      </c>
      <c r="C214">
        <f t="shared" si="1"/>
        <v>0</v>
      </c>
      <c r="D214">
        <f t="shared" si="2"/>
        <v>1</v>
      </c>
      <c r="E214">
        <f t="shared" si="3"/>
        <v>3</v>
      </c>
      <c r="F214">
        <f t="shared" si="4"/>
        <v>4</v>
      </c>
      <c r="G214">
        <f t="shared" si="5"/>
        <v>0</v>
      </c>
      <c r="H214">
        <f t="shared" si="6"/>
        <v>2</v>
      </c>
      <c r="I214">
        <f t="shared" si="7"/>
        <v>2</v>
      </c>
      <c r="J214">
        <f t="shared" si="8"/>
        <v>2</v>
      </c>
      <c r="K214">
        <f t="shared" si="9"/>
        <v>3</v>
      </c>
      <c r="L214">
        <f t="shared" si="10"/>
        <v>1</v>
      </c>
      <c r="M214">
        <f t="shared" si="11"/>
        <v>4</v>
      </c>
      <c r="N214">
        <f t="shared" si="12"/>
        <v>3</v>
      </c>
      <c r="O214">
        <f t="shared" si="13"/>
        <v>0</v>
      </c>
      <c r="P214">
        <f t="shared" si="14"/>
        <v>0</v>
      </c>
      <c r="Q214">
        <f t="shared" si="15"/>
        <v>0</v>
      </c>
      <c r="R214">
        <f t="shared" si="16"/>
        <v>0</v>
      </c>
    </row>
    <row r="215" spans="1:18" x14ac:dyDescent="0.35">
      <c r="A215" t="s">
        <v>29</v>
      </c>
      <c r="B215">
        <v>9</v>
      </c>
      <c r="C215">
        <f t="shared" si="1"/>
        <v>1</v>
      </c>
      <c r="D215">
        <f t="shared" si="2"/>
        <v>0</v>
      </c>
      <c r="E215">
        <f t="shared" si="3"/>
        <v>0</v>
      </c>
      <c r="F215">
        <f t="shared" si="4"/>
        <v>1</v>
      </c>
      <c r="G215">
        <f t="shared" si="5"/>
        <v>0</v>
      </c>
      <c r="H215">
        <f t="shared" si="6"/>
        <v>0</v>
      </c>
      <c r="I215">
        <f t="shared" si="7"/>
        <v>1</v>
      </c>
      <c r="J215">
        <f t="shared" si="8"/>
        <v>0</v>
      </c>
      <c r="K215">
        <f t="shared" si="9"/>
        <v>0</v>
      </c>
      <c r="L215">
        <f t="shared" si="10"/>
        <v>0</v>
      </c>
      <c r="M215">
        <f t="shared" si="11"/>
        <v>2</v>
      </c>
      <c r="N215">
        <f t="shared" si="12"/>
        <v>0</v>
      </c>
      <c r="O215">
        <f t="shared" si="13"/>
        <v>0</v>
      </c>
      <c r="P215">
        <f t="shared" si="14"/>
        <v>0</v>
      </c>
      <c r="Q215">
        <f t="shared" si="15"/>
        <v>0</v>
      </c>
      <c r="R215">
        <f t="shared" si="16"/>
        <v>0</v>
      </c>
    </row>
    <row r="216" spans="1:18" x14ac:dyDescent="0.35">
      <c r="A216" t="s">
        <v>29</v>
      </c>
      <c r="B216">
        <v>10</v>
      </c>
      <c r="C216">
        <f t="shared" si="1"/>
        <v>0</v>
      </c>
      <c r="D216">
        <f t="shared" si="2"/>
        <v>0</v>
      </c>
      <c r="E216">
        <f t="shared" si="3"/>
        <v>2</v>
      </c>
      <c r="F216">
        <f t="shared" si="4"/>
        <v>2</v>
      </c>
      <c r="G216">
        <f t="shared" si="5"/>
        <v>0</v>
      </c>
      <c r="H216">
        <f t="shared" si="6"/>
        <v>2</v>
      </c>
      <c r="I216">
        <f t="shared" si="7"/>
        <v>0</v>
      </c>
      <c r="J216">
        <f t="shared" si="8"/>
        <v>3</v>
      </c>
      <c r="K216">
        <f t="shared" si="9"/>
        <v>0</v>
      </c>
      <c r="L216">
        <f t="shared" si="10"/>
        <v>2</v>
      </c>
      <c r="M216">
        <f t="shared" si="11"/>
        <v>1</v>
      </c>
      <c r="N216">
        <f t="shared" si="12"/>
        <v>2</v>
      </c>
      <c r="O216">
        <f t="shared" si="13"/>
        <v>0</v>
      </c>
      <c r="P216">
        <f t="shared" si="14"/>
        <v>0</v>
      </c>
      <c r="Q216">
        <f t="shared" si="15"/>
        <v>0</v>
      </c>
      <c r="R216">
        <f t="shared" si="16"/>
        <v>0</v>
      </c>
    </row>
    <row r="217" spans="1:18" x14ac:dyDescent="0.35">
      <c r="A217" t="s">
        <v>29</v>
      </c>
      <c r="B217">
        <v>11</v>
      </c>
      <c r="C217">
        <f t="shared" si="1"/>
        <v>0</v>
      </c>
      <c r="D217">
        <f t="shared" si="2"/>
        <v>0</v>
      </c>
      <c r="E217">
        <f t="shared" si="3"/>
        <v>0</v>
      </c>
      <c r="F217">
        <f t="shared" si="4"/>
        <v>0</v>
      </c>
      <c r="G217">
        <f t="shared" si="5"/>
        <v>0</v>
      </c>
      <c r="H217">
        <f t="shared" si="6"/>
        <v>0</v>
      </c>
      <c r="I217">
        <f t="shared" si="7"/>
        <v>0</v>
      </c>
      <c r="J217">
        <f t="shared" si="8"/>
        <v>0</v>
      </c>
      <c r="K217">
        <f t="shared" si="9"/>
        <v>0</v>
      </c>
      <c r="L217">
        <f t="shared" si="10"/>
        <v>0</v>
      </c>
      <c r="M217">
        <f t="shared" si="11"/>
        <v>0</v>
      </c>
      <c r="N217">
        <f t="shared" si="12"/>
        <v>0</v>
      </c>
      <c r="O217">
        <f t="shared" si="13"/>
        <v>0</v>
      </c>
      <c r="P217">
        <f t="shared" si="14"/>
        <v>0</v>
      </c>
      <c r="Q217">
        <f t="shared" si="15"/>
        <v>0</v>
      </c>
      <c r="R217">
        <f t="shared" si="16"/>
        <v>0</v>
      </c>
    </row>
    <row r="218" spans="1:18" x14ac:dyDescent="0.35">
      <c r="A218" t="s">
        <v>29</v>
      </c>
      <c r="B218">
        <v>12</v>
      </c>
      <c r="C218">
        <f t="shared" si="1"/>
        <v>0</v>
      </c>
      <c r="D218">
        <f t="shared" si="2"/>
        <v>0</v>
      </c>
      <c r="E218">
        <f t="shared" si="3"/>
        <v>0</v>
      </c>
      <c r="F218">
        <f t="shared" si="4"/>
        <v>0</v>
      </c>
      <c r="G218">
        <f t="shared" si="5"/>
        <v>0</v>
      </c>
      <c r="H218">
        <f t="shared" si="6"/>
        <v>1</v>
      </c>
      <c r="I218">
        <f t="shared" si="7"/>
        <v>0</v>
      </c>
      <c r="J218">
        <f t="shared" si="8"/>
        <v>0</v>
      </c>
      <c r="K218">
        <f t="shared" si="9"/>
        <v>0</v>
      </c>
      <c r="L218">
        <f t="shared" si="10"/>
        <v>0</v>
      </c>
      <c r="M218">
        <f t="shared" si="11"/>
        <v>0</v>
      </c>
      <c r="N218">
        <f t="shared" si="12"/>
        <v>0</v>
      </c>
      <c r="O218">
        <f t="shared" si="13"/>
        <v>0</v>
      </c>
      <c r="P218">
        <f t="shared" si="14"/>
        <v>0</v>
      </c>
      <c r="Q218">
        <f t="shared" si="15"/>
        <v>0</v>
      </c>
      <c r="R218">
        <f t="shared" si="16"/>
        <v>0</v>
      </c>
    </row>
    <row r="219" spans="1:18" x14ac:dyDescent="0.35">
      <c r="A219" t="s">
        <v>29</v>
      </c>
      <c r="B219">
        <v>13</v>
      </c>
      <c r="C219">
        <f t="shared" si="1"/>
        <v>0</v>
      </c>
      <c r="D219">
        <f t="shared" si="2"/>
        <v>0</v>
      </c>
      <c r="E219">
        <f t="shared" si="3"/>
        <v>0</v>
      </c>
      <c r="F219">
        <f t="shared" si="4"/>
        <v>0</v>
      </c>
      <c r="G219">
        <f t="shared" si="5"/>
        <v>0</v>
      </c>
      <c r="H219">
        <f t="shared" si="6"/>
        <v>0</v>
      </c>
      <c r="I219">
        <f t="shared" si="7"/>
        <v>0</v>
      </c>
      <c r="J219">
        <f t="shared" si="8"/>
        <v>0</v>
      </c>
      <c r="K219">
        <f t="shared" si="9"/>
        <v>0</v>
      </c>
      <c r="L219">
        <f t="shared" si="10"/>
        <v>0</v>
      </c>
      <c r="M219">
        <f t="shared" si="11"/>
        <v>0</v>
      </c>
      <c r="N219">
        <f t="shared" si="12"/>
        <v>1</v>
      </c>
      <c r="O219">
        <f t="shared" si="13"/>
        <v>0</v>
      </c>
      <c r="P219">
        <f t="shared" si="14"/>
        <v>0</v>
      </c>
      <c r="Q219">
        <f t="shared" si="15"/>
        <v>0</v>
      </c>
      <c r="R219">
        <f t="shared" si="16"/>
        <v>0</v>
      </c>
    </row>
    <row r="220" spans="1:18" x14ac:dyDescent="0.35">
      <c r="A220" t="s">
        <v>29</v>
      </c>
      <c r="B220">
        <v>14</v>
      </c>
      <c r="C220">
        <f t="shared" si="1"/>
        <v>0</v>
      </c>
      <c r="D220">
        <f t="shared" si="2"/>
        <v>0</v>
      </c>
      <c r="E220">
        <f t="shared" si="3"/>
        <v>0</v>
      </c>
      <c r="F220">
        <f t="shared" si="4"/>
        <v>0</v>
      </c>
      <c r="G220">
        <f t="shared" si="5"/>
        <v>0</v>
      </c>
      <c r="H220">
        <f t="shared" si="6"/>
        <v>0</v>
      </c>
      <c r="I220">
        <f t="shared" si="7"/>
        <v>0</v>
      </c>
      <c r="J220">
        <f t="shared" si="8"/>
        <v>0</v>
      </c>
      <c r="K220">
        <f t="shared" si="9"/>
        <v>0</v>
      </c>
      <c r="L220">
        <f t="shared" si="10"/>
        <v>0</v>
      </c>
      <c r="M220">
        <f t="shared" si="11"/>
        <v>0</v>
      </c>
      <c r="N220">
        <f t="shared" si="12"/>
        <v>0</v>
      </c>
      <c r="O220">
        <f t="shared" si="13"/>
        <v>0</v>
      </c>
      <c r="P220">
        <f t="shared" si="14"/>
        <v>0</v>
      </c>
      <c r="Q220">
        <f t="shared" si="15"/>
        <v>0</v>
      </c>
      <c r="R220">
        <f t="shared" si="16"/>
        <v>0</v>
      </c>
    </row>
    <row r="221" spans="1:18" x14ac:dyDescent="0.35">
      <c r="A221" t="s">
        <v>29</v>
      </c>
      <c r="B221">
        <v>15</v>
      </c>
      <c r="C221">
        <f t="shared" si="1"/>
        <v>0</v>
      </c>
      <c r="D221">
        <f t="shared" si="2"/>
        <v>0</v>
      </c>
      <c r="E221">
        <f t="shared" si="3"/>
        <v>0</v>
      </c>
      <c r="F221">
        <f t="shared" si="4"/>
        <v>0</v>
      </c>
      <c r="G221">
        <f t="shared" si="5"/>
        <v>0</v>
      </c>
      <c r="H221">
        <f t="shared" si="6"/>
        <v>0</v>
      </c>
      <c r="I221">
        <f t="shared" si="7"/>
        <v>0</v>
      </c>
      <c r="J221">
        <f t="shared" si="8"/>
        <v>0</v>
      </c>
      <c r="K221">
        <f t="shared" si="9"/>
        <v>0</v>
      </c>
      <c r="L221">
        <f t="shared" si="10"/>
        <v>0</v>
      </c>
      <c r="M221">
        <f t="shared" si="11"/>
        <v>0</v>
      </c>
      <c r="N221">
        <f t="shared" si="12"/>
        <v>0</v>
      </c>
      <c r="O221">
        <f t="shared" si="13"/>
        <v>0</v>
      </c>
      <c r="P221">
        <f t="shared" si="14"/>
        <v>0</v>
      </c>
      <c r="Q221">
        <f t="shared" si="15"/>
        <v>0</v>
      </c>
      <c r="R221">
        <f t="shared" si="16"/>
        <v>0</v>
      </c>
    </row>
    <row r="222" spans="1:18" x14ac:dyDescent="0.35">
      <c r="A222" t="s">
        <v>29</v>
      </c>
      <c r="B222">
        <v>16</v>
      </c>
      <c r="C222">
        <f t="shared" si="1"/>
        <v>0</v>
      </c>
      <c r="D222">
        <f t="shared" si="2"/>
        <v>0</v>
      </c>
      <c r="E222">
        <f t="shared" si="3"/>
        <v>0</v>
      </c>
      <c r="F222">
        <f t="shared" si="4"/>
        <v>0</v>
      </c>
      <c r="G222">
        <f t="shared" si="5"/>
        <v>0</v>
      </c>
      <c r="H222">
        <f t="shared" si="6"/>
        <v>0</v>
      </c>
      <c r="I222">
        <f t="shared" si="7"/>
        <v>0</v>
      </c>
      <c r="J222">
        <f t="shared" si="8"/>
        <v>0</v>
      </c>
      <c r="K222">
        <f t="shared" si="9"/>
        <v>0</v>
      </c>
      <c r="L222">
        <f t="shared" si="10"/>
        <v>0</v>
      </c>
      <c r="M222">
        <f t="shared" si="11"/>
        <v>0</v>
      </c>
      <c r="N222">
        <f t="shared" si="12"/>
        <v>1</v>
      </c>
      <c r="O222">
        <f t="shared" si="13"/>
        <v>0</v>
      </c>
      <c r="P222">
        <f t="shared" si="14"/>
        <v>0</v>
      </c>
      <c r="Q222">
        <f t="shared" si="15"/>
        <v>0</v>
      </c>
      <c r="R222">
        <f t="shared" si="16"/>
        <v>0</v>
      </c>
    </row>
    <row r="223" spans="1:18" x14ac:dyDescent="0.35">
      <c r="A223" t="s">
        <v>29</v>
      </c>
      <c r="B223">
        <v>17</v>
      </c>
      <c r="C223">
        <f t="shared" si="1"/>
        <v>0</v>
      </c>
      <c r="D223">
        <f t="shared" si="2"/>
        <v>0</v>
      </c>
      <c r="E223">
        <f t="shared" si="3"/>
        <v>0</v>
      </c>
      <c r="F223">
        <f t="shared" si="4"/>
        <v>0</v>
      </c>
      <c r="G223">
        <f t="shared" si="5"/>
        <v>0</v>
      </c>
      <c r="H223">
        <f t="shared" si="6"/>
        <v>0</v>
      </c>
      <c r="I223">
        <f t="shared" si="7"/>
        <v>0</v>
      </c>
      <c r="J223">
        <f t="shared" si="8"/>
        <v>0</v>
      </c>
      <c r="K223">
        <f t="shared" si="9"/>
        <v>0</v>
      </c>
      <c r="L223">
        <f t="shared" si="10"/>
        <v>0</v>
      </c>
      <c r="M223">
        <f t="shared" si="11"/>
        <v>0</v>
      </c>
      <c r="N223">
        <f t="shared" si="12"/>
        <v>0</v>
      </c>
      <c r="O223">
        <f t="shared" si="13"/>
        <v>0</v>
      </c>
      <c r="P223">
        <f t="shared" si="14"/>
        <v>0</v>
      </c>
      <c r="Q223">
        <f t="shared" si="15"/>
        <v>0</v>
      </c>
      <c r="R223">
        <f t="shared" si="16"/>
        <v>0</v>
      </c>
    </row>
    <row r="224" spans="1:18" x14ac:dyDescent="0.35">
      <c r="A224" t="s">
        <v>29</v>
      </c>
      <c r="B224">
        <v>18</v>
      </c>
      <c r="C224">
        <f t="shared" si="1"/>
        <v>0</v>
      </c>
      <c r="D224">
        <f t="shared" si="2"/>
        <v>0</v>
      </c>
      <c r="E224">
        <f t="shared" si="3"/>
        <v>0</v>
      </c>
      <c r="F224">
        <f t="shared" si="4"/>
        <v>0</v>
      </c>
      <c r="G224">
        <f t="shared" si="5"/>
        <v>0</v>
      </c>
      <c r="H224">
        <f t="shared" si="6"/>
        <v>0</v>
      </c>
      <c r="I224">
        <f t="shared" si="7"/>
        <v>0</v>
      </c>
      <c r="J224">
        <f t="shared" si="8"/>
        <v>0</v>
      </c>
      <c r="K224">
        <f t="shared" si="9"/>
        <v>0</v>
      </c>
      <c r="L224">
        <f t="shared" si="10"/>
        <v>0</v>
      </c>
      <c r="M224">
        <f t="shared" si="11"/>
        <v>0</v>
      </c>
      <c r="N224">
        <f t="shared" si="12"/>
        <v>1</v>
      </c>
      <c r="O224">
        <f t="shared" si="13"/>
        <v>0</v>
      </c>
      <c r="P224">
        <f t="shared" si="14"/>
        <v>0</v>
      </c>
      <c r="Q224">
        <f t="shared" si="15"/>
        <v>0</v>
      </c>
      <c r="R224">
        <f t="shared" si="16"/>
        <v>0</v>
      </c>
    </row>
    <row r="225" spans="1:18" x14ac:dyDescent="0.35">
      <c r="A225" t="s">
        <v>29</v>
      </c>
      <c r="B225">
        <v>19</v>
      </c>
      <c r="C225">
        <f t="shared" si="1"/>
        <v>0</v>
      </c>
      <c r="D225">
        <f t="shared" si="2"/>
        <v>0</v>
      </c>
      <c r="E225">
        <f t="shared" si="3"/>
        <v>0</v>
      </c>
      <c r="F225">
        <f t="shared" si="4"/>
        <v>0</v>
      </c>
      <c r="G225">
        <f t="shared" si="5"/>
        <v>0</v>
      </c>
      <c r="H225">
        <f t="shared" si="6"/>
        <v>0</v>
      </c>
      <c r="I225">
        <f t="shared" si="7"/>
        <v>0</v>
      </c>
      <c r="J225">
        <f t="shared" si="8"/>
        <v>0</v>
      </c>
      <c r="K225">
        <f t="shared" si="9"/>
        <v>0</v>
      </c>
      <c r="L225">
        <f t="shared" si="10"/>
        <v>0</v>
      </c>
      <c r="M225">
        <f t="shared" si="11"/>
        <v>0</v>
      </c>
      <c r="N225">
        <f t="shared" si="12"/>
        <v>0</v>
      </c>
      <c r="O225">
        <f t="shared" si="13"/>
        <v>0</v>
      </c>
      <c r="P225">
        <f t="shared" si="14"/>
        <v>0</v>
      </c>
      <c r="Q225">
        <f t="shared" si="15"/>
        <v>0</v>
      </c>
      <c r="R225">
        <f t="shared" si="16"/>
        <v>0</v>
      </c>
    </row>
    <row r="226" spans="1:18" x14ac:dyDescent="0.35">
      <c r="A226" t="s">
        <v>29</v>
      </c>
      <c r="B226">
        <v>20</v>
      </c>
      <c r="C226">
        <f t="shared" si="1"/>
        <v>0</v>
      </c>
      <c r="D226">
        <f t="shared" si="2"/>
        <v>0</v>
      </c>
      <c r="E226">
        <f t="shared" si="3"/>
        <v>0</v>
      </c>
      <c r="F226">
        <f t="shared" si="4"/>
        <v>0</v>
      </c>
      <c r="G226">
        <f t="shared" si="5"/>
        <v>0</v>
      </c>
      <c r="H226">
        <f t="shared" si="6"/>
        <v>0</v>
      </c>
      <c r="I226">
        <f t="shared" si="7"/>
        <v>0</v>
      </c>
      <c r="J226">
        <f t="shared" si="8"/>
        <v>0</v>
      </c>
      <c r="K226">
        <f t="shared" si="9"/>
        <v>0</v>
      </c>
      <c r="L226">
        <f t="shared" si="10"/>
        <v>0</v>
      </c>
      <c r="M226">
        <f t="shared" si="11"/>
        <v>0</v>
      </c>
      <c r="N226">
        <f t="shared" si="12"/>
        <v>0</v>
      </c>
      <c r="O226">
        <f t="shared" si="13"/>
        <v>0</v>
      </c>
      <c r="P226">
        <f t="shared" si="14"/>
        <v>0</v>
      </c>
      <c r="Q226">
        <f t="shared" si="15"/>
        <v>0</v>
      </c>
      <c r="R226">
        <f t="shared" si="16"/>
        <v>0</v>
      </c>
    </row>
    <row r="227" spans="1:18" x14ac:dyDescent="0.35">
      <c r="A227" t="s">
        <v>29</v>
      </c>
      <c r="B227">
        <v>21</v>
      </c>
      <c r="C227">
        <f t="shared" si="1"/>
        <v>0</v>
      </c>
      <c r="D227">
        <f t="shared" si="2"/>
        <v>0</v>
      </c>
      <c r="E227">
        <f>COUNTIF($E$4:$E$194, $B227)</f>
        <v>0</v>
      </c>
      <c r="F227">
        <f t="shared" si="4"/>
        <v>0</v>
      </c>
      <c r="G227">
        <f t="shared" si="5"/>
        <v>0</v>
      </c>
      <c r="H227">
        <f t="shared" si="6"/>
        <v>0</v>
      </c>
      <c r="I227">
        <f t="shared" si="7"/>
        <v>0</v>
      </c>
      <c r="J227">
        <f t="shared" si="8"/>
        <v>0</v>
      </c>
      <c r="K227">
        <f t="shared" si="9"/>
        <v>0</v>
      </c>
      <c r="L227">
        <f t="shared" si="10"/>
        <v>0</v>
      </c>
      <c r="M227">
        <f t="shared" si="11"/>
        <v>0</v>
      </c>
      <c r="N227">
        <f t="shared" si="12"/>
        <v>0</v>
      </c>
      <c r="O227">
        <f t="shared" si="13"/>
        <v>0</v>
      </c>
      <c r="P227">
        <f t="shared" si="14"/>
        <v>0</v>
      </c>
      <c r="Q227">
        <f>COUNTIF($Q$4:$Q$194, $B227)</f>
        <v>0</v>
      </c>
      <c r="R227">
        <f t="shared" si="16"/>
        <v>0</v>
      </c>
    </row>
    <row r="228" spans="1:18" x14ac:dyDescent="0.35">
      <c r="A228" t="s">
        <v>29</v>
      </c>
      <c r="B228">
        <v>22</v>
      </c>
      <c r="C228">
        <f t="shared" si="1"/>
        <v>0</v>
      </c>
      <c r="D228">
        <f t="shared" si="2"/>
        <v>0</v>
      </c>
      <c r="E228">
        <f>COUNTIF($E$4:$E$194, $B228)</f>
        <v>0</v>
      </c>
      <c r="F228">
        <f t="shared" si="4"/>
        <v>0</v>
      </c>
      <c r="G228">
        <f>COUNTIF($G$4:$G$194, $B228)</f>
        <v>0</v>
      </c>
      <c r="H228">
        <f>COUNTIF($H$4:$H$194, $B228)</f>
        <v>0</v>
      </c>
      <c r="I228">
        <f t="shared" si="7"/>
        <v>0</v>
      </c>
      <c r="J228">
        <f t="shared" si="8"/>
        <v>0</v>
      </c>
      <c r="K228">
        <f t="shared" si="9"/>
        <v>0</v>
      </c>
      <c r="L228">
        <f t="shared" si="10"/>
        <v>0</v>
      </c>
      <c r="M228">
        <f t="shared" si="11"/>
        <v>0</v>
      </c>
      <c r="N228">
        <f t="shared" si="12"/>
        <v>0</v>
      </c>
      <c r="O228">
        <f>COUNTIF($O$4:$O$194, $B228)</f>
        <v>0</v>
      </c>
      <c r="P228">
        <f t="shared" si="14"/>
        <v>0</v>
      </c>
      <c r="Q228">
        <f>COUNTIF($Q$4:$Q$194, $B228)</f>
        <v>0</v>
      </c>
      <c r="R228">
        <f t="shared" si="16"/>
        <v>0</v>
      </c>
    </row>
    <row r="229" spans="1:18" x14ac:dyDescent="0.35">
      <c r="A229" t="s">
        <v>29</v>
      </c>
      <c r="B229">
        <v>23</v>
      </c>
      <c r="C229">
        <f>COUNTIF($C$4:$C$194, $B229)</f>
        <v>0</v>
      </c>
      <c r="D229">
        <f t="shared" si="2"/>
        <v>0</v>
      </c>
      <c r="E229">
        <f>COUNTIF($E$4:$E$194, $B229)</f>
        <v>0</v>
      </c>
      <c r="F229">
        <f>COUNTIF($F$4:$F$194, $B229)</f>
        <v>0</v>
      </c>
      <c r="G229">
        <f>COUNTIF($G$4:$G$194, $B229)</f>
        <v>0</v>
      </c>
      <c r="H229">
        <f>COUNTIF($H$4:$H$194, $B229)</f>
        <v>0</v>
      </c>
      <c r="I229">
        <f>COUNTIF($I$4:$I$194, $B229)</f>
        <v>0</v>
      </c>
      <c r="J229">
        <f>COUNTIF($J$4:$J$194, $B229)</f>
        <v>0</v>
      </c>
      <c r="K229">
        <f>COUNTIF($K$4:$K$194, $B229)</f>
        <v>0</v>
      </c>
      <c r="L229">
        <f>COUNTIF($L$4:$L$194, $B229)</f>
        <v>0</v>
      </c>
      <c r="M229">
        <f t="shared" si="11"/>
        <v>0</v>
      </c>
      <c r="N229">
        <f>COUNTIF($N$4:$N$194, $B229)</f>
        <v>0</v>
      </c>
      <c r="O229">
        <f>COUNTIF($O$4:$O$194, $B229)</f>
        <v>0</v>
      </c>
      <c r="P229">
        <f>COUNTIF($P$4:$P$194, $B229)</f>
        <v>0</v>
      </c>
      <c r="Q229">
        <f>COUNTIF($Q$4:$Q$194, $B229)</f>
        <v>0</v>
      </c>
      <c r="R229">
        <f t="shared" si="16"/>
        <v>0</v>
      </c>
    </row>
  </sheetData>
  <mergeCells count="3">
    <mergeCell ref="B1:C1"/>
    <mergeCell ref="B2:C2"/>
    <mergeCell ref="A206:B206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7"/>
  <sheetViews>
    <sheetView zoomScale="90" zoomScaleNormal="90" zoomScaleSheetLayoutView="100" workbookViewId="0">
      <pane ySplit="3" topLeftCell="A201" activePane="bottomLeft" state="frozen"/>
      <selection activeCell="B135" sqref="B135:B171"/>
      <selection pane="bottomLeft" activeCell="D178" sqref="D178"/>
    </sheetView>
  </sheetViews>
  <sheetFormatPr defaultRowHeight="14.5" x14ac:dyDescent="0.35"/>
  <cols>
    <col min="3" max="3" width="19.08984375" customWidth="1"/>
    <col min="4" max="4" width="18.54296875" customWidth="1"/>
    <col min="5" max="5" width="15.36328125" customWidth="1"/>
    <col min="6" max="6" width="18.453125" customWidth="1"/>
    <col min="7" max="7" width="15.7265625" customWidth="1"/>
    <col min="8" max="8" width="19.453125" customWidth="1"/>
    <col min="9" max="9" width="13.1796875" customWidth="1"/>
    <col min="10" max="10" width="11.36328125" bestFit="1" customWidth="1"/>
    <col min="11" max="11" width="14.36328125" customWidth="1"/>
    <col min="12" max="12" width="11.6328125" customWidth="1"/>
    <col min="13" max="13" width="11.08984375" customWidth="1"/>
  </cols>
  <sheetData>
    <row r="1" spans="1:16" x14ac:dyDescent="0.35">
      <c r="A1" s="16" t="s">
        <v>19</v>
      </c>
      <c r="B1" s="16"/>
      <c r="C1" s="16"/>
      <c r="D1" s="16"/>
    </row>
    <row r="2" spans="1:16" x14ac:dyDescent="0.35">
      <c r="B2" s="16" t="s">
        <v>41</v>
      </c>
      <c r="C2" s="16"/>
    </row>
    <row r="3" spans="1:16" ht="54.5" customHeight="1" x14ac:dyDescent="0.35">
      <c r="B3" t="s">
        <v>0</v>
      </c>
      <c r="C3" s="1" t="s">
        <v>46</v>
      </c>
      <c r="D3" s="1" t="s">
        <v>72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108</v>
      </c>
      <c r="J3" s="1" t="s">
        <v>110</v>
      </c>
      <c r="K3" s="1" t="s">
        <v>112</v>
      </c>
      <c r="L3" s="1" t="s">
        <v>82</v>
      </c>
      <c r="M3" s="1" t="s">
        <v>82</v>
      </c>
      <c r="N3" s="1"/>
      <c r="O3" s="1"/>
      <c r="P3" s="1"/>
    </row>
    <row r="4" spans="1:16" x14ac:dyDescent="0.35">
      <c r="B4" s="2">
        <v>100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6" x14ac:dyDescent="0.35">
      <c r="B5" s="2">
        <v>101</v>
      </c>
      <c r="C5" s="4">
        <v>0</v>
      </c>
      <c r="D5" s="4">
        <v>0</v>
      </c>
      <c r="E5" s="4">
        <v>4</v>
      </c>
      <c r="F5" s="4">
        <v>0</v>
      </c>
      <c r="G5" s="4">
        <v>0</v>
      </c>
      <c r="H5" s="4">
        <v>0</v>
      </c>
      <c r="I5" s="3">
        <v>4</v>
      </c>
      <c r="J5" s="4">
        <v>0</v>
      </c>
      <c r="K5" s="4">
        <v>0</v>
      </c>
      <c r="L5" s="4">
        <v>0</v>
      </c>
      <c r="M5" s="4">
        <v>0</v>
      </c>
    </row>
    <row r="6" spans="1:16" x14ac:dyDescent="0.35">
      <c r="B6" s="2">
        <v>102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6" x14ac:dyDescent="0.35">
      <c r="B7" s="2">
        <v>103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6" x14ac:dyDescent="0.35">
      <c r="B8" s="2">
        <v>104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6" x14ac:dyDescent="0.35">
      <c r="B9" s="2">
        <v>105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6" x14ac:dyDescent="0.35">
      <c r="B10" s="2">
        <v>106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6" x14ac:dyDescent="0.35">
      <c r="B11" s="2">
        <v>107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6" x14ac:dyDescent="0.35">
      <c r="B12" s="2">
        <v>108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6" x14ac:dyDescent="0.35">
      <c r="B13" s="2">
        <v>109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6" x14ac:dyDescent="0.35">
      <c r="B14" s="2">
        <v>110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6" x14ac:dyDescent="0.35">
      <c r="B15" s="2">
        <v>111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6" x14ac:dyDescent="0.35">
      <c r="B16" s="2">
        <v>112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2:13" x14ac:dyDescent="0.35">
      <c r="B17" s="2">
        <v>113</v>
      </c>
      <c r="C17" s="3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2:13" x14ac:dyDescent="0.35">
      <c r="B18" s="2">
        <v>114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2:13" x14ac:dyDescent="0.35">
      <c r="B19" s="2">
        <v>115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2:13" x14ac:dyDescent="0.35">
      <c r="B20" s="2">
        <v>116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 spans="2:13" x14ac:dyDescent="0.35">
      <c r="B21" s="2">
        <v>117</v>
      </c>
      <c r="C21" s="3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2:13" x14ac:dyDescent="0.35">
      <c r="B22" s="2">
        <v>118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2:13" x14ac:dyDescent="0.35">
      <c r="B23" s="2">
        <v>119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2:13" x14ac:dyDescent="0.35">
      <c r="B24" s="2">
        <v>120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2:13" x14ac:dyDescent="0.35">
      <c r="B25" s="2">
        <v>121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2:13" x14ac:dyDescent="0.35">
      <c r="B26" s="2">
        <v>122</v>
      </c>
      <c r="C26" s="4">
        <v>0</v>
      </c>
      <c r="D26" s="3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2:13" x14ac:dyDescent="0.35">
      <c r="B27" s="2">
        <v>123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2:13" x14ac:dyDescent="0.35">
      <c r="B28" s="2">
        <v>124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</row>
    <row r="29" spans="2:13" x14ac:dyDescent="0.35">
      <c r="B29" s="2">
        <v>125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2:13" x14ac:dyDescent="0.35">
      <c r="B30" s="2">
        <v>126</v>
      </c>
      <c r="C30" s="4">
        <v>0</v>
      </c>
      <c r="D30" s="3">
        <v>4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2:13" x14ac:dyDescent="0.35">
      <c r="B31" s="2">
        <v>127</v>
      </c>
      <c r="C31" s="3">
        <v>1</v>
      </c>
      <c r="D31" s="3">
        <v>1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2:13" x14ac:dyDescent="0.35">
      <c r="B32" s="2">
        <v>128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2:13" x14ac:dyDescent="0.35">
      <c r="B33" s="2">
        <v>129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2:13" x14ac:dyDescent="0.35">
      <c r="B34" s="2">
        <v>130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2:13" x14ac:dyDescent="0.35">
      <c r="B35" s="2">
        <v>131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2:13" x14ac:dyDescent="0.35">
      <c r="B36" s="2">
        <v>132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2:13" x14ac:dyDescent="0.35">
      <c r="B37" s="2">
        <v>133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2:13" x14ac:dyDescent="0.35">
      <c r="B38" s="2">
        <v>134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</row>
    <row r="39" spans="2:13" x14ac:dyDescent="0.35">
      <c r="B39" s="2">
        <v>135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2:13" x14ac:dyDescent="0.35">
      <c r="B40" s="2">
        <v>136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</row>
    <row r="41" spans="2:13" x14ac:dyDescent="0.35">
      <c r="B41" s="2">
        <v>137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2:13" x14ac:dyDescent="0.35">
      <c r="B42" s="2">
        <v>138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</row>
    <row r="43" spans="2:13" x14ac:dyDescent="0.35">
      <c r="B43" s="2">
        <v>139</v>
      </c>
      <c r="C43" s="4">
        <v>0</v>
      </c>
      <c r="D43" s="4">
        <v>0</v>
      </c>
      <c r="E43" s="3">
        <v>4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</row>
    <row r="44" spans="2:13" x14ac:dyDescent="0.35">
      <c r="B44" s="2">
        <v>140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</row>
    <row r="45" spans="2:13" x14ac:dyDescent="0.35">
      <c r="B45" s="2">
        <v>141</v>
      </c>
      <c r="C45" s="3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2:13" x14ac:dyDescent="0.35">
      <c r="B46" s="2">
        <v>142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</row>
    <row r="47" spans="2:13" x14ac:dyDescent="0.35">
      <c r="B47" s="2">
        <v>143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2:13" x14ac:dyDescent="0.35">
      <c r="B48" s="2">
        <v>144</v>
      </c>
      <c r="C48" s="4">
        <v>0</v>
      </c>
      <c r="D48" s="4">
        <v>0</v>
      </c>
      <c r="E48" s="4">
        <v>0</v>
      </c>
      <c r="F48" s="3">
        <v>2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</row>
    <row r="49" spans="2:13" x14ac:dyDescent="0.35">
      <c r="B49" s="2">
        <v>145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2:13" x14ac:dyDescent="0.35">
      <c r="B50" s="2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</row>
    <row r="51" spans="2:13" x14ac:dyDescent="0.35">
      <c r="B51" s="2">
        <v>147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2:13" x14ac:dyDescent="0.35">
      <c r="B52" s="2">
        <v>148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</row>
    <row r="53" spans="2:13" x14ac:dyDescent="0.35">
      <c r="B53" s="2">
        <v>149</v>
      </c>
      <c r="C53" s="4">
        <v>0</v>
      </c>
      <c r="D53" s="3">
        <v>3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2:13" x14ac:dyDescent="0.35">
      <c r="B54" s="2">
        <v>150</v>
      </c>
      <c r="C54" s="4">
        <v>0</v>
      </c>
      <c r="D54" s="4">
        <v>0</v>
      </c>
      <c r="E54" s="4">
        <v>0</v>
      </c>
      <c r="F54" s="4">
        <v>0</v>
      </c>
      <c r="G54" s="3">
        <v>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</row>
    <row r="55" spans="2:13" x14ac:dyDescent="0.35">
      <c r="B55" s="2">
        <v>151</v>
      </c>
      <c r="C55" s="4">
        <v>0</v>
      </c>
      <c r="D55" s="4">
        <v>0</v>
      </c>
      <c r="E55" s="3">
        <v>2</v>
      </c>
      <c r="F55" s="3">
        <v>2</v>
      </c>
      <c r="G55" s="4">
        <v>0</v>
      </c>
      <c r="H55" s="3">
        <v>2</v>
      </c>
      <c r="I55" s="4">
        <v>0</v>
      </c>
      <c r="J55" s="3">
        <v>4</v>
      </c>
      <c r="K55" s="4">
        <v>0</v>
      </c>
      <c r="L55" s="4">
        <v>0</v>
      </c>
      <c r="M55" s="4">
        <v>0</v>
      </c>
    </row>
    <row r="56" spans="2:13" x14ac:dyDescent="0.35">
      <c r="B56" s="2">
        <v>152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</row>
    <row r="57" spans="2:13" x14ac:dyDescent="0.35">
      <c r="B57" s="2">
        <v>153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2:13" x14ac:dyDescent="0.35">
      <c r="B58" s="2">
        <v>154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2:13" x14ac:dyDescent="0.35">
      <c r="B59" s="2">
        <v>155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2:13" x14ac:dyDescent="0.35">
      <c r="B60" s="2">
        <v>156</v>
      </c>
      <c r="C60" s="3">
        <v>1</v>
      </c>
      <c r="D60" s="3">
        <v>2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</row>
    <row r="61" spans="2:13" x14ac:dyDescent="0.35">
      <c r="B61" s="2">
        <v>157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2:13" x14ac:dyDescent="0.35">
      <c r="B62" s="2">
        <v>158</v>
      </c>
      <c r="C62" s="4">
        <v>0</v>
      </c>
      <c r="D62" s="4">
        <v>0</v>
      </c>
      <c r="E62" s="3">
        <v>2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</row>
    <row r="63" spans="2:13" x14ac:dyDescent="0.35">
      <c r="B63" s="2">
        <v>159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</row>
    <row r="64" spans="2:13" x14ac:dyDescent="0.35">
      <c r="B64" s="2">
        <v>160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</row>
    <row r="65" spans="2:13" x14ac:dyDescent="0.35">
      <c r="B65" s="2">
        <v>161</v>
      </c>
      <c r="C65" s="4">
        <v>0</v>
      </c>
      <c r="D65" s="3">
        <v>2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2:13" x14ac:dyDescent="0.35">
      <c r="B66" s="2">
        <v>162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</row>
    <row r="67" spans="2:13" x14ac:dyDescent="0.35">
      <c r="B67" s="2">
        <v>163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2:13" x14ac:dyDescent="0.35">
      <c r="B68" s="2">
        <v>164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</row>
    <row r="69" spans="2:13" x14ac:dyDescent="0.35">
      <c r="B69" s="2">
        <v>165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2:13" x14ac:dyDescent="0.35">
      <c r="B70" s="2">
        <v>166</v>
      </c>
      <c r="C70" s="4">
        <v>0</v>
      </c>
      <c r="D70" s="3">
        <v>2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</row>
    <row r="71" spans="2:13" x14ac:dyDescent="0.35">
      <c r="B71" s="2">
        <v>167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2:13" x14ac:dyDescent="0.35">
      <c r="B72" s="2">
        <v>168</v>
      </c>
      <c r="C72" s="4">
        <v>0</v>
      </c>
      <c r="D72" s="3">
        <v>1</v>
      </c>
      <c r="E72" s="4">
        <v>0</v>
      </c>
      <c r="F72" s="3">
        <v>1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</row>
    <row r="73" spans="2:13" x14ac:dyDescent="0.35">
      <c r="B73" s="2">
        <v>169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2:13" x14ac:dyDescent="0.35">
      <c r="B74" s="2">
        <v>170</v>
      </c>
      <c r="C74" s="4">
        <v>0</v>
      </c>
      <c r="D74" s="3">
        <v>2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</row>
    <row r="75" spans="2:13" x14ac:dyDescent="0.35">
      <c r="B75" s="2">
        <v>171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2:13" x14ac:dyDescent="0.35">
      <c r="B76" s="2">
        <v>172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</row>
    <row r="77" spans="2:13" x14ac:dyDescent="0.35">
      <c r="B77" s="2">
        <v>173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2:13" x14ac:dyDescent="0.35">
      <c r="B78" s="2">
        <v>174</v>
      </c>
      <c r="C78" s="4">
        <v>0</v>
      </c>
      <c r="D78" s="3">
        <v>3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</row>
    <row r="79" spans="2:13" x14ac:dyDescent="0.35">
      <c r="B79" s="2">
        <v>175</v>
      </c>
      <c r="C79" s="3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2:13" x14ac:dyDescent="0.35">
      <c r="B80" s="2">
        <v>176</v>
      </c>
      <c r="C80" s="3">
        <v>4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 spans="2:13" x14ac:dyDescent="0.35">
      <c r="B81" s="2">
        <v>177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2:13" x14ac:dyDescent="0.35">
      <c r="B82" s="2">
        <v>178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</row>
    <row r="83" spans="2:13" x14ac:dyDescent="0.35">
      <c r="B83" s="2">
        <v>179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2:13" x14ac:dyDescent="0.35">
      <c r="B84" s="2">
        <v>180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</row>
    <row r="85" spans="2:13" x14ac:dyDescent="0.35">
      <c r="B85" s="2">
        <v>181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2:13" x14ac:dyDescent="0.35">
      <c r="B86" s="2">
        <v>182</v>
      </c>
      <c r="C86" s="4">
        <v>0</v>
      </c>
      <c r="D86" s="4">
        <v>0</v>
      </c>
      <c r="E86" s="4">
        <v>0</v>
      </c>
      <c r="F86" s="3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</row>
    <row r="87" spans="2:13" x14ac:dyDescent="0.35">
      <c r="B87" s="2">
        <v>183</v>
      </c>
      <c r="C87" s="4">
        <v>0</v>
      </c>
      <c r="D87" s="4">
        <v>0</v>
      </c>
      <c r="E87" s="3">
        <v>2</v>
      </c>
      <c r="F87" s="3">
        <v>2</v>
      </c>
      <c r="G87" s="4">
        <v>0</v>
      </c>
      <c r="H87" s="3">
        <v>2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2:13" x14ac:dyDescent="0.35">
      <c r="B88" s="2">
        <v>184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</row>
    <row r="89" spans="2:13" x14ac:dyDescent="0.35">
      <c r="B89" s="2">
        <v>185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2:13" x14ac:dyDescent="0.35">
      <c r="B90" s="2">
        <v>186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</row>
    <row r="91" spans="2:13" x14ac:dyDescent="0.35">
      <c r="B91" s="2">
        <v>187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2:13" x14ac:dyDescent="0.35">
      <c r="B92" s="2">
        <v>188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</row>
    <row r="93" spans="2:13" x14ac:dyDescent="0.35">
      <c r="B93" s="2">
        <v>189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3">
        <v>1</v>
      </c>
      <c r="L93" s="4">
        <v>0</v>
      </c>
      <c r="M93" s="4">
        <v>0</v>
      </c>
    </row>
    <row r="94" spans="2:13" x14ac:dyDescent="0.35">
      <c r="B94" s="2">
        <v>190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</row>
    <row r="95" spans="2:13" x14ac:dyDescent="0.35">
      <c r="B95" s="2">
        <v>191</v>
      </c>
      <c r="C95" s="4">
        <v>0</v>
      </c>
      <c r="D95" s="4">
        <v>0</v>
      </c>
      <c r="E95" s="3">
        <v>3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2:13" x14ac:dyDescent="0.35">
      <c r="B96" s="2">
        <v>192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</row>
    <row r="97" spans="2:13" x14ac:dyDescent="0.35">
      <c r="B97" s="2">
        <v>193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2:13" x14ac:dyDescent="0.35">
      <c r="B98" s="2">
        <v>194</v>
      </c>
      <c r="C98" s="3">
        <v>2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</row>
    <row r="99" spans="2:13" x14ac:dyDescent="0.35">
      <c r="B99" s="2">
        <v>195</v>
      </c>
      <c r="C99" s="4">
        <v>0</v>
      </c>
      <c r="D99" s="3">
        <v>3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2:13" x14ac:dyDescent="0.35">
      <c r="B100" s="2">
        <v>196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</row>
    <row r="101" spans="2:13" x14ac:dyDescent="0.35">
      <c r="B101" s="2">
        <v>197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</row>
    <row r="102" spans="2:13" x14ac:dyDescent="0.35">
      <c r="B102" s="2">
        <v>198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</row>
    <row r="103" spans="2:13" x14ac:dyDescent="0.35">
      <c r="B103" s="2">
        <v>199</v>
      </c>
      <c r="C103" s="4">
        <v>0</v>
      </c>
      <c r="D103" s="4">
        <v>0</v>
      </c>
      <c r="E103" s="4">
        <v>0</v>
      </c>
      <c r="F103" s="3">
        <v>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2:13" x14ac:dyDescent="0.35">
      <c r="B104" s="2">
        <v>200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</row>
    <row r="105" spans="2:13" x14ac:dyDescent="0.35">
      <c r="B105" s="2">
        <v>201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2:13" x14ac:dyDescent="0.35">
      <c r="B106" s="2">
        <v>202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</row>
    <row r="107" spans="2:13" x14ac:dyDescent="0.35">
      <c r="B107" s="2">
        <v>203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2:13" x14ac:dyDescent="0.35">
      <c r="B108" s="2">
        <v>204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 spans="2:13" x14ac:dyDescent="0.35">
      <c r="B109" s="2">
        <v>205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2:13" x14ac:dyDescent="0.35">
      <c r="B110" s="2">
        <v>206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</row>
    <row r="111" spans="2:13" x14ac:dyDescent="0.35">
      <c r="B111" s="2">
        <v>207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3">
        <v>6</v>
      </c>
      <c r="J111" s="4">
        <v>0</v>
      </c>
      <c r="K111" s="4">
        <v>0</v>
      </c>
      <c r="L111" s="4">
        <v>0</v>
      </c>
      <c r="M111" s="4">
        <v>0</v>
      </c>
    </row>
    <row r="112" spans="2:13" x14ac:dyDescent="0.35">
      <c r="B112" s="2">
        <v>208</v>
      </c>
      <c r="C112" s="4">
        <v>0</v>
      </c>
      <c r="D112" s="4">
        <v>0</v>
      </c>
      <c r="E112" s="4">
        <v>0</v>
      </c>
      <c r="F112" s="3">
        <v>1</v>
      </c>
      <c r="G112" s="3">
        <v>1</v>
      </c>
      <c r="H112" s="3">
        <v>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</row>
    <row r="113" spans="2:13" x14ac:dyDescent="0.35">
      <c r="B113" s="2">
        <v>209</v>
      </c>
      <c r="C113" s="4">
        <v>0</v>
      </c>
      <c r="D113" s="4">
        <v>0</v>
      </c>
      <c r="E113" s="4">
        <v>0</v>
      </c>
      <c r="F113" s="3">
        <v>2</v>
      </c>
      <c r="G113" s="4">
        <v>0</v>
      </c>
      <c r="H113" s="3">
        <v>2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2:13" x14ac:dyDescent="0.35">
      <c r="B114" s="2">
        <v>210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</row>
    <row r="115" spans="2:13" x14ac:dyDescent="0.35">
      <c r="B115" s="2">
        <v>211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2:13" x14ac:dyDescent="0.35">
      <c r="B116" s="2">
        <v>212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2:13" x14ac:dyDescent="0.35">
      <c r="B117" s="2">
        <v>213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2:13" x14ac:dyDescent="0.35">
      <c r="B118" s="2">
        <v>214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</row>
    <row r="119" spans="2:13" x14ac:dyDescent="0.35">
      <c r="B119" s="2">
        <v>215</v>
      </c>
      <c r="C119" s="3">
        <v>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</row>
    <row r="120" spans="2:13" x14ac:dyDescent="0.35">
      <c r="B120" s="2">
        <v>216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</row>
    <row r="121" spans="2:13" x14ac:dyDescent="0.35">
      <c r="B121" s="2">
        <v>217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2:13" x14ac:dyDescent="0.35">
      <c r="B122" s="2">
        <v>218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</row>
    <row r="123" spans="2:13" x14ac:dyDescent="0.35">
      <c r="B123" s="2">
        <v>219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2:13" x14ac:dyDescent="0.35">
      <c r="B124" s="2">
        <v>220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</row>
    <row r="125" spans="2:13" x14ac:dyDescent="0.35">
      <c r="B125" s="2">
        <v>221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2:13" x14ac:dyDescent="0.35">
      <c r="B126" s="2">
        <v>222</v>
      </c>
      <c r="C126" s="4">
        <v>0</v>
      </c>
      <c r="D126" s="3">
        <v>1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</row>
    <row r="127" spans="2:13" x14ac:dyDescent="0.35">
      <c r="B127" s="2">
        <v>223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2:13" x14ac:dyDescent="0.35">
      <c r="B128" s="2">
        <v>224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</row>
    <row r="129" spans="2:13" x14ac:dyDescent="0.35">
      <c r="B129" s="2">
        <v>225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2:13" x14ac:dyDescent="0.35">
      <c r="B130" s="2">
        <v>226</v>
      </c>
      <c r="C130" s="4">
        <v>0</v>
      </c>
      <c r="D130" s="4">
        <v>0</v>
      </c>
      <c r="E130" s="3">
        <v>2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2:13" x14ac:dyDescent="0.35">
      <c r="B131" s="2">
        <v>227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2:13" x14ac:dyDescent="0.35">
      <c r="B132" s="2">
        <v>228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</row>
    <row r="133" spans="2:13" x14ac:dyDescent="0.35">
      <c r="B133" s="2">
        <v>229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2:13" x14ac:dyDescent="0.35">
      <c r="B134" s="2">
        <v>230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</row>
    <row r="135" spans="2:13" x14ac:dyDescent="0.35">
      <c r="B135" s="2">
        <v>231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2:13" x14ac:dyDescent="0.35">
      <c r="B136" s="2">
        <v>232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</row>
    <row r="137" spans="2:13" x14ac:dyDescent="0.35">
      <c r="B137" s="2">
        <v>233</v>
      </c>
      <c r="C137" s="3">
        <v>1</v>
      </c>
      <c r="D137" s="3">
        <v>1</v>
      </c>
      <c r="E137" s="3">
        <v>1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2:13" x14ac:dyDescent="0.35">
      <c r="B138" s="2">
        <v>234</v>
      </c>
      <c r="C138" s="4">
        <v>0</v>
      </c>
      <c r="D138" s="4">
        <v>0</v>
      </c>
      <c r="E138" s="3">
        <v>3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</row>
    <row r="139" spans="2:13" x14ac:dyDescent="0.35">
      <c r="B139" s="2">
        <v>235</v>
      </c>
      <c r="C139" s="4">
        <v>0</v>
      </c>
      <c r="D139" s="3">
        <v>1</v>
      </c>
      <c r="E139" s="3">
        <v>2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2:13" x14ac:dyDescent="0.35">
      <c r="B140" s="2">
        <v>236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</row>
    <row r="141" spans="2:13" x14ac:dyDescent="0.35">
      <c r="B141" s="2">
        <v>237</v>
      </c>
      <c r="C141" s="4">
        <v>0</v>
      </c>
      <c r="D141" s="3">
        <v>1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2:13" x14ac:dyDescent="0.35">
      <c r="B142" s="2">
        <v>238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</row>
    <row r="143" spans="2:13" x14ac:dyDescent="0.35">
      <c r="B143" s="2">
        <v>239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2:13" x14ac:dyDescent="0.35">
      <c r="B144" s="2">
        <v>240</v>
      </c>
      <c r="C144" s="4">
        <v>0</v>
      </c>
      <c r="D144" s="4">
        <v>0</v>
      </c>
      <c r="E144" s="3">
        <v>2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</row>
    <row r="145" spans="2:14" x14ac:dyDescent="0.35">
      <c r="B145" s="2">
        <v>241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2:14" x14ac:dyDescent="0.35">
      <c r="B146" s="2">
        <v>242</v>
      </c>
      <c r="C146" s="4">
        <v>0</v>
      </c>
      <c r="D146" s="3">
        <v>2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2:14" x14ac:dyDescent="0.35">
      <c r="B147" s="2">
        <v>243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2:14" x14ac:dyDescent="0.35">
      <c r="B148" s="2">
        <v>244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</row>
    <row r="149" spans="2:14" x14ac:dyDescent="0.35">
      <c r="B149" s="2">
        <v>245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2:14" x14ac:dyDescent="0.35">
      <c r="B150" s="2">
        <v>246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15"/>
    </row>
    <row r="151" spans="2:14" x14ac:dyDescent="0.35">
      <c r="B151" s="2">
        <v>247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15"/>
    </row>
    <row r="152" spans="2:14" x14ac:dyDescent="0.35">
      <c r="B152" s="2">
        <v>248</v>
      </c>
      <c r="C152" s="4">
        <v>0</v>
      </c>
      <c r="D152" s="3">
        <v>2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</row>
    <row r="153" spans="2:14" x14ac:dyDescent="0.35">
      <c r="B153" s="2">
        <v>249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2:14" x14ac:dyDescent="0.35">
      <c r="B154" s="2">
        <v>250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</row>
    <row r="155" spans="2:14" x14ac:dyDescent="0.35">
      <c r="B155" s="2">
        <v>251</v>
      </c>
      <c r="C155" s="3">
        <v>2</v>
      </c>
      <c r="D155" s="3">
        <v>1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2:14" x14ac:dyDescent="0.35">
      <c r="B156" s="2">
        <v>252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2:14" x14ac:dyDescent="0.35">
      <c r="B157" s="2">
        <v>253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</row>
    <row r="158" spans="2:14" x14ac:dyDescent="0.35">
      <c r="B158" s="2">
        <v>254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</row>
    <row r="159" spans="2:14" x14ac:dyDescent="0.35">
      <c r="B159" s="2">
        <v>255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2:14" x14ac:dyDescent="0.35">
      <c r="B160" s="2">
        <v>256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</row>
    <row r="161" spans="2:13" x14ac:dyDescent="0.35">
      <c r="B161" s="2">
        <v>257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2:13" x14ac:dyDescent="0.35">
      <c r="B162" s="2">
        <v>258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</row>
    <row r="163" spans="2:13" x14ac:dyDescent="0.35">
      <c r="B163" s="2">
        <v>259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2:13" x14ac:dyDescent="0.35">
      <c r="B164" s="2">
        <v>260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</row>
    <row r="165" spans="2:13" x14ac:dyDescent="0.35">
      <c r="B165" s="2">
        <v>261</v>
      </c>
      <c r="C165" s="4">
        <v>0</v>
      </c>
      <c r="D165" s="3">
        <v>1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2:13" x14ac:dyDescent="0.35">
      <c r="B166" s="2">
        <v>262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</row>
    <row r="167" spans="2:13" x14ac:dyDescent="0.35">
      <c r="B167" s="2">
        <v>263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2:13" x14ac:dyDescent="0.35">
      <c r="B168" s="2">
        <v>264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</row>
    <row r="169" spans="2:13" x14ac:dyDescent="0.35">
      <c r="B169" s="2">
        <v>265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2:13" x14ac:dyDescent="0.35">
      <c r="B170" s="2">
        <v>266</v>
      </c>
      <c r="C170" s="4">
        <v>0</v>
      </c>
      <c r="D170" s="19">
        <v>0</v>
      </c>
      <c r="E170" s="19"/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</row>
    <row r="171" spans="2:13" x14ac:dyDescent="0.35">
      <c r="B171" s="2">
        <v>267</v>
      </c>
      <c r="C171" s="4">
        <v>0</v>
      </c>
      <c r="D171" s="13">
        <v>0</v>
      </c>
      <c r="E171" s="13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2:13" x14ac:dyDescent="0.35">
      <c r="B172" s="2">
        <v>268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</row>
    <row r="173" spans="2:13" x14ac:dyDescent="0.35">
      <c r="B173" s="2">
        <v>269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2:13" x14ac:dyDescent="0.35">
      <c r="B174" s="2">
        <v>270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</row>
    <row r="175" spans="2:13" x14ac:dyDescent="0.35">
      <c r="B175" s="2">
        <v>271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2:13" x14ac:dyDescent="0.35">
      <c r="B176" s="2">
        <v>272</v>
      </c>
      <c r="C176" s="4">
        <v>0</v>
      </c>
      <c r="D176" s="3">
        <v>1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2:14" x14ac:dyDescent="0.35">
      <c r="B177" s="2">
        <v>273</v>
      </c>
      <c r="C177" s="4">
        <v>0</v>
      </c>
      <c r="D177" s="4">
        <v>0</v>
      </c>
      <c r="E177" s="4">
        <v>0</v>
      </c>
      <c r="F177" s="3">
        <v>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</row>
    <row r="178" spans="2:14" x14ac:dyDescent="0.35">
      <c r="B178" s="2">
        <v>274</v>
      </c>
      <c r="C178" s="4">
        <v>0</v>
      </c>
      <c r="D178" s="3">
        <v>9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5">
        <v>0</v>
      </c>
      <c r="N178" s="15"/>
    </row>
    <row r="179" spans="2:14" x14ac:dyDescent="0.35">
      <c r="B179" s="2">
        <v>275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2:14" x14ac:dyDescent="0.35">
      <c r="B180" s="2">
        <v>276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</row>
    <row r="181" spans="2:14" x14ac:dyDescent="0.35">
      <c r="B181" s="2">
        <v>277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2:14" x14ac:dyDescent="0.35">
      <c r="B182" s="2">
        <v>278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2:14" x14ac:dyDescent="0.35">
      <c r="B183" s="2">
        <v>279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2:14" x14ac:dyDescent="0.35">
      <c r="B184" s="2">
        <v>280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2:14" x14ac:dyDescent="0.35">
      <c r="B185" s="2">
        <v>281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2:14" x14ac:dyDescent="0.35">
      <c r="B186" s="2">
        <v>282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2:14" x14ac:dyDescent="0.35">
      <c r="B187" s="2">
        <v>283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2:14" x14ac:dyDescent="0.35">
      <c r="B188" s="2">
        <v>284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2:14" x14ac:dyDescent="0.35">
      <c r="B189" s="2">
        <v>285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2:14" x14ac:dyDescent="0.35">
      <c r="B190" s="2">
        <v>286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2:14" x14ac:dyDescent="0.35">
      <c r="B191" s="2">
        <v>287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2:14" x14ac:dyDescent="0.35">
      <c r="B192" s="2">
        <v>288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4" x14ac:dyDescent="0.35">
      <c r="B193" s="2">
        <v>289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1"/>
    </row>
    <row r="194" spans="1:14" x14ac:dyDescent="0.35">
      <c r="B194" s="2">
        <v>290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4" x14ac:dyDescent="0.35">
      <c r="B195" s="2">
        <v>291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4" x14ac:dyDescent="0.35">
      <c r="B196" s="2">
        <v>292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4" x14ac:dyDescent="0.35">
      <c r="B197" s="2">
        <v>293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4" x14ac:dyDescent="0.35">
      <c r="B198" s="2">
        <v>294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4" x14ac:dyDescent="0.35">
      <c r="B199" s="2">
        <v>295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4" x14ac:dyDescent="0.35">
      <c r="B200" s="2">
        <v>296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4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4" ht="15" thickBot="1" x14ac:dyDescent="0.4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4" ht="15" thickBot="1" x14ac:dyDescent="0.4">
      <c r="A203" s="17" t="s">
        <v>1</v>
      </c>
      <c r="B203" s="18"/>
      <c r="C203" s="9">
        <f t="shared" ref="C203:L203" si="0">SUM(C4:C202)</f>
        <v>17</v>
      </c>
      <c r="D203" s="9">
        <f t="shared" si="0"/>
        <v>44</v>
      </c>
      <c r="E203" s="9">
        <f t="shared" si="0"/>
        <v>27</v>
      </c>
      <c r="F203" s="9">
        <f t="shared" si="0"/>
        <v>13</v>
      </c>
      <c r="G203" s="9">
        <f t="shared" si="0"/>
        <v>2</v>
      </c>
      <c r="H203" s="9">
        <f t="shared" si="0"/>
        <v>7</v>
      </c>
      <c r="I203" s="9">
        <f t="shared" si="0"/>
        <v>10</v>
      </c>
      <c r="J203" s="9">
        <f t="shared" si="0"/>
        <v>4</v>
      </c>
      <c r="K203" s="9">
        <f t="shared" si="0"/>
        <v>1</v>
      </c>
      <c r="L203" s="9">
        <f t="shared" si="0"/>
        <v>0</v>
      </c>
      <c r="M203" s="10">
        <f t="shared" ref="M203" si="1">SUM(M4:M202)</f>
        <v>0</v>
      </c>
    </row>
    <row r="204" spans="1:14" x14ac:dyDescent="0.35">
      <c r="A204" t="s">
        <v>29</v>
      </c>
      <c r="B204">
        <v>1</v>
      </c>
      <c r="C204">
        <f t="shared" ref="C204:C227" si="2">COUNTIF($C$4:$C$201, $B204)</f>
        <v>7</v>
      </c>
      <c r="D204">
        <f t="shared" ref="D204:D227" si="3">COUNTIF($D$4:$D$201, $B204)</f>
        <v>10</v>
      </c>
      <c r="E204">
        <f t="shared" ref="E204:E227" si="4">COUNTIF($E$4:$E$201, $B204)</f>
        <v>1</v>
      </c>
      <c r="F204">
        <f t="shared" ref="F204:F227" si="5">COUNTIF($F$4:$F$201, $B204)</f>
        <v>5</v>
      </c>
      <c r="G204">
        <f t="shared" ref="G204:G227" si="6">COUNTIF($G$4:$G$201, $B204)</f>
        <v>2</v>
      </c>
      <c r="H204">
        <f t="shared" ref="H204:H227" si="7">COUNTIF($H$4:$H$201, $B204)</f>
        <v>1</v>
      </c>
      <c r="I204">
        <f t="shared" ref="I204:I227" si="8">COUNTIF($I$4:$I$201, $B204)</f>
        <v>0</v>
      </c>
      <c r="J204">
        <f t="shared" ref="J204:J227" si="9">COUNTIF($J$4:$J$201, $B204)</f>
        <v>0</v>
      </c>
      <c r="K204">
        <f t="shared" ref="K204:K227" si="10">COUNTIF($K$4:$K$201, $B204)</f>
        <v>1</v>
      </c>
      <c r="L204">
        <f t="shared" ref="L204:L227" si="11">COUNTIF($L$4:$L$201, $B204)</f>
        <v>0</v>
      </c>
      <c r="M204">
        <f t="shared" ref="M204:M227" si="12">COUNTIF($M$4:$M$201, $B204)</f>
        <v>0</v>
      </c>
    </row>
    <row r="205" spans="1:14" x14ac:dyDescent="0.35">
      <c r="A205" t="s">
        <v>29</v>
      </c>
      <c r="B205">
        <v>2</v>
      </c>
      <c r="C205">
        <f t="shared" si="2"/>
        <v>3</v>
      </c>
      <c r="D205">
        <f t="shared" si="3"/>
        <v>6</v>
      </c>
      <c r="E205">
        <f t="shared" si="4"/>
        <v>6</v>
      </c>
      <c r="F205">
        <f t="shared" si="5"/>
        <v>4</v>
      </c>
      <c r="G205">
        <f t="shared" si="6"/>
        <v>0</v>
      </c>
      <c r="H205">
        <f t="shared" si="7"/>
        <v>3</v>
      </c>
      <c r="I205">
        <f t="shared" si="8"/>
        <v>0</v>
      </c>
      <c r="J205">
        <f t="shared" si="9"/>
        <v>0</v>
      </c>
      <c r="K205">
        <f t="shared" si="10"/>
        <v>0</v>
      </c>
      <c r="L205">
        <f t="shared" si="11"/>
        <v>0</v>
      </c>
      <c r="M205">
        <f t="shared" si="12"/>
        <v>0</v>
      </c>
    </row>
    <row r="206" spans="1:14" x14ac:dyDescent="0.35">
      <c r="A206" t="s">
        <v>29</v>
      </c>
      <c r="B206">
        <v>3</v>
      </c>
      <c r="C206">
        <f t="shared" si="2"/>
        <v>0</v>
      </c>
      <c r="D206">
        <f t="shared" si="3"/>
        <v>3</v>
      </c>
      <c r="E206">
        <f t="shared" si="4"/>
        <v>2</v>
      </c>
      <c r="F206">
        <f t="shared" si="5"/>
        <v>0</v>
      </c>
      <c r="G206">
        <f t="shared" si="6"/>
        <v>0</v>
      </c>
      <c r="H206">
        <f t="shared" si="7"/>
        <v>0</v>
      </c>
      <c r="I206">
        <f t="shared" si="8"/>
        <v>0</v>
      </c>
      <c r="J206">
        <f t="shared" si="9"/>
        <v>0</v>
      </c>
      <c r="K206">
        <f t="shared" si="10"/>
        <v>0</v>
      </c>
      <c r="L206">
        <f t="shared" si="11"/>
        <v>0</v>
      </c>
      <c r="M206">
        <f t="shared" si="12"/>
        <v>0</v>
      </c>
    </row>
    <row r="207" spans="1:14" x14ac:dyDescent="0.35">
      <c r="A207" t="s">
        <v>29</v>
      </c>
      <c r="B207">
        <v>4</v>
      </c>
      <c r="C207">
        <f t="shared" si="2"/>
        <v>1</v>
      </c>
      <c r="D207">
        <f t="shared" si="3"/>
        <v>1</v>
      </c>
      <c r="E207">
        <f t="shared" si="4"/>
        <v>2</v>
      </c>
      <c r="F207">
        <f t="shared" si="5"/>
        <v>0</v>
      </c>
      <c r="G207">
        <f t="shared" si="6"/>
        <v>0</v>
      </c>
      <c r="H207">
        <f t="shared" si="7"/>
        <v>0</v>
      </c>
      <c r="I207">
        <f t="shared" si="8"/>
        <v>1</v>
      </c>
      <c r="J207">
        <f t="shared" si="9"/>
        <v>1</v>
      </c>
      <c r="K207">
        <f t="shared" si="10"/>
        <v>0</v>
      </c>
      <c r="L207">
        <f t="shared" si="11"/>
        <v>0</v>
      </c>
      <c r="M207">
        <f t="shared" si="12"/>
        <v>0</v>
      </c>
    </row>
    <row r="208" spans="1:14" x14ac:dyDescent="0.35">
      <c r="A208" t="s">
        <v>29</v>
      </c>
      <c r="B208">
        <v>5</v>
      </c>
      <c r="C208">
        <f t="shared" si="2"/>
        <v>0</v>
      </c>
      <c r="D208">
        <f t="shared" si="3"/>
        <v>0</v>
      </c>
      <c r="E208">
        <f t="shared" si="4"/>
        <v>0</v>
      </c>
      <c r="F208">
        <f t="shared" si="5"/>
        <v>0</v>
      </c>
      <c r="G208">
        <f t="shared" si="6"/>
        <v>0</v>
      </c>
      <c r="H208">
        <f t="shared" si="7"/>
        <v>0</v>
      </c>
      <c r="I208">
        <f t="shared" si="8"/>
        <v>0</v>
      </c>
      <c r="J208">
        <f t="shared" si="9"/>
        <v>0</v>
      </c>
      <c r="K208">
        <f t="shared" si="10"/>
        <v>0</v>
      </c>
      <c r="L208">
        <f t="shared" si="11"/>
        <v>0</v>
      </c>
      <c r="M208">
        <f t="shared" si="12"/>
        <v>0</v>
      </c>
    </row>
    <row r="209" spans="1:13" x14ac:dyDescent="0.35">
      <c r="A209" t="s">
        <v>29</v>
      </c>
      <c r="B209">
        <v>6</v>
      </c>
      <c r="C209">
        <f t="shared" si="2"/>
        <v>0</v>
      </c>
      <c r="D209">
        <f t="shared" si="3"/>
        <v>0</v>
      </c>
      <c r="E209">
        <f t="shared" si="4"/>
        <v>0</v>
      </c>
      <c r="F209">
        <f t="shared" si="5"/>
        <v>0</v>
      </c>
      <c r="G209">
        <f t="shared" si="6"/>
        <v>0</v>
      </c>
      <c r="H209">
        <f t="shared" si="7"/>
        <v>0</v>
      </c>
      <c r="I209">
        <f t="shared" si="8"/>
        <v>1</v>
      </c>
      <c r="J209">
        <f t="shared" si="9"/>
        <v>0</v>
      </c>
      <c r="K209">
        <f t="shared" si="10"/>
        <v>0</v>
      </c>
      <c r="L209">
        <f t="shared" si="11"/>
        <v>0</v>
      </c>
      <c r="M209">
        <f t="shared" si="12"/>
        <v>0</v>
      </c>
    </row>
    <row r="210" spans="1:13" x14ac:dyDescent="0.35">
      <c r="A210" t="s">
        <v>29</v>
      </c>
      <c r="B210">
        <v>7</v>
      </c>
      <c r="C210">
        <f t="shared" si="2"/>
        <v>0</v>
      </c>
      <c r="D210">
        <f t="shared" si="3"/>
        <v>0</v>
      </c>
      <c r="E210">
        <f t="shared" si="4"/>
        <v>0</v>
      </c>
      <c r="F210">
        <f t="shared" si="5"/>
        <v>0</v>
      </c>
      <c r="G210">
        <f t="shared" si="6"/>
        <v>0</v>
      </c>
      <c r="H210">
        <f t="shared" si="7"/>
        <v>0</v>
      </c>
      <c r="I210">
        <f t="shared" si="8"/>
        <v>0</v>
      </c>
      <c r="J210">
        <f t="shared" si="9"/>
        <v>0</v>
      </c>
      <c r="K210">
        <f t="shared" si="10"/>
        <v>0</v>
      </c>
      <c r="L210">
        <f t="shared" si="11"/>
        <v>0</v>
      </c>
      <c r="M210">
        <f t="shared" si="12"/>
        <v>0</v>
      </c>
    </row>
    <row r="211" spans="1:13" x14ac:dyDescent="0.35">
      <c r="A211" t="s">
        <v>29</v>
      </c>
      <c r="B211">
        <v>8</v>
      </c>
      <c r="C211">
        <f t="shared" si="2"/>
        <v>0</v>
      </c>
      <c r="D211">
        <f t="shared" si="3"/>
        <v>0</v>
      </c>
      <c r="E211">
        <f t="shared" si="4"/>
        <v>0</v>
      </c>
      <c r="F211">
        <f t="shared" si="5"/>
        <v>0</v>
      </c>
      <c r="G211">
        <f t="shared" si="6"/>
        <v>0</v>
      </c>
      <c r="H211">
        <f t="shared" si="7"/>
        <v>0</v>
      </c>
      <c r="I211">
        <f t="shared" si="8"/>
        <v>0</v>
      </c>
      <c r="J211">
        <f t="shared" si="9"/>
        <v>0</v>
      </c>
      <c r="K211">
        <f t="shared" si="10"/>
        <v>0</v>
      </c>
      <c r="L211">
        <f t="shared" si="11"/>
        <v>0</v>
      </c>
      <c r="M211">
        <f t="shared" si="12"/>
        <v>0</v>
      </c>
    </row>
    <row r="212" spans="1:13" x14ac:dyDescent="0.35">
      <c r="A212" t="s">
        <v>29</v>
      </c>
      <c r="B212">
        <v>9</v>
      </c>
      <c r="C212">
        <f t="shared" si="2"/>
        <v>0</v>
      </c>
      <c r="D212">
        <f t="shared" si="3"/>
        <v>1</v>
      </c>
      <c r="E212">
        <f t="shared" si="4"/>
        <v>0</v>
      </c>
      <c r="F212">
        <f t="shared" si="5"/>
        <v>0</v>
      </c>
      <c r="G212">
        <f t="shared" si="6"/>
        <v>0</v>
      </c>
      <c r="H212">
        <f t="shared" si="7"/>
        <v>0</v>
      </c>
      <c r="I212">
        <f t="shared" si="8"/>
        <v>0</v>
      </c>
      <c r="J212">
        <f t="shared" si="9"/>
        <v>0</v>
      </c>
      <c r="K212">
        <f t="shared" si="10"/>
        <v>0</v>
      </c>
      <c r="L212">
        <f t="shared" si="11"/>
        <v>0</v>
      </c>
      <c r="M212">
        <f t="shared" si="12"/>
        <v>0</v>
      </c>
    </row>
    <row r="213" spans="1:13" x14ac:dyDescent="0.35">
      <c r="A213" t="s">
        <v>29</v>
      </c>
      <c r="B213">
        <v>10</v>
      </c>
      <c r="C213">
        <f t="shared" si="2"/>
        <v>0</v>
      </c>
      <c r="D213">
        <f t="shared" si="3"/>
        <v>0</v>
      </c>
      <c r="E213">
        <f t="shared" si="4"/>
        <v>0</v>
      </c>
      <c r="F213">
        <f t="shared" si="5"/>
        <v>0</v>
      </c>
      <c r="G213">
        <f t="shared" si="6"/>
        <v>0</v>
      </c>
      <c r="H213">
        <f t="shared" si="7"/>
        <v>0</v>
      </c>
      <c r="I213">
        <f t="shared" si="8"/>
        <v>0</v>
      </c>
      <c r="J213">
        <f t="shared" si="9"/>
        <v>0</v>
      </c>
      <c r="K213">
        <f t="shared" si="10"/>
        <v>0</v>
      </c>
      <c r="L213">
        <f t="shared" si="11"/>
        <v>0</v>
      </c>
      <c r="M213">
        <f t="shared" si="12"/>
        <v>0</v>
      </c>
    </row>
    <row r="214" spans="1:13" x14ac:dyDescent="0.35">
      <c r="A214" t="s">
        <v>29</v>
      </c>
      <c r="B214">
        <v>11</v>
      </c>
      <c r="C214">
        <f t="shared" si="2"/>
        <v>0</v>
      </c>
      <c r="D214">
        <f t="shared" si="3"/>
        <v>0</v>
      </c>
      <c r="E214">
        <f t="shared" si="4"/>
        <v>0</v>
      </c>
      <c r="F214">
        <f t="shared" si="5"/>
        <v>0</v>
      </c>
      <c r="G214">
        <f t="shared" si="6"/>
        <v>0</v>
      </c>
      <c r="H214">
        <f t="shared" si="7"/>
        <v>0</v>
      </c>
      <c r="I214">
        <f t="shared" si="8"/>
        <v>0</v>
      </c>
      <c r="J214">
        <f t="shared" si="9"/>
        <v>0</v>
      </c>
      <c r="K214">
        <f t="shared" si="10"/>
        <v>0</v>
      </c>
      <c r="L214">
        <f t="shared" si="11"/>
        <v>0</v>
      </c>
      <c r="M214">
        <f t="shared" si="12"/>
        <v>0</v>
      </c>
    </row>
    <row r="215" spans="1:13" x14ac:dyDescent="0.35">
      <c r="A215" t="s">
        <v>29</v>
      </c>
      <c r="B215">
        <v>12</v>
      </c>
      <c r="C215">
        <f t="shared" si="2"/>
        <v>0</v>
      </c>
      <c r="D215">
        <f t="shared" si="3"/>
        <v>0</v>
      </c>
      <c r="E215">
        <f t="shared" si="4"/>
        <v>0</v>
      </c>
      <c r="F215">
        <f t="shared" si="5"/>
        <v>0</v>
      </c>
      <c r="G215">
        <f t="shared" si="6"/>
        <v>0</v>
      </c>
      <c r="H215">
        <f t="shared" si="7"/>
        <v>0</v>
      </c>
      <c r="I215">
        <f t="shared" si="8"/>
        <v>0</v>
      </c>
      <c r="J215">
        <f t="shared" si="9"/>
        <v>0</v>
      </c>
      <c r="K215">
        <f t="shared" si="10"/>
        <v>0</v>
      </c>
      <c r="L215">
        <f t="shared" si="11"/>
        <v>0</v>
      </c>
      <c r="M215">
        <f t="shared" si="12"/>
        <v>0</v>
      </c>
    </row>
    <row r="216" spans="1:13" x14ac:dyDescent="0.35">
      <c r="A216" t="s">
        <v>29</v>
      </c>
      <c r="B216">
        <v>13</v>
      </c>
      <c r="C216">
        <f t="shared" si="2"/>
        <v>0</v>
      </c>
      <c r="D216">
        <f t="shared" si="3"/>
        <v>0</v>
      </c>
      <c r="E216">
        <f t="shared" si="4"/>
        <v>0</v>
      </c>
      <c r="F216">
        <f t="shared" si="5"/>
        <v>0</v>
      </c>
      <c r="G216">
        <f t="shared" si="6"/>
        <v>0</v>
      </c>
      <c r="H216">
        <f t="shared" si="7"/>
        <v>0</v>
      </c>
      <c r="I216">
        <f t="shared" si="8"/>
        <v>0</v>
      </c>
      <c r="J216">
        <f t="shared" si="9"/>
        <v>0</v>
      </c>
      <c r="K216">
        <f t="shared" si="10"/>
        <v>0</v>
      </c>
      <c r="L216">
        <f t="shared" si="11"/>
        <v>0</v>
      </c>
      <c r="M216">
        <f t="shared" si="12"/>
        <v>0</v>
      </c>
    </row>
    <row r="217" spans="1:13" x14ac:dyDescent="0.35">
      <c r="A217" t="s">
        <v>29</v>
      </c>
      <c r="B217">
        <v>14</v>
      </c>
      <c r="C217">
        <f t="shared" si="2"/>
        <v>0</v>
      </c>
      <c r="D217">
        <f t="shared" si="3"/>
        <v>0</v>
      </c>
      <c r="E217">
        <f t="shared" si="4"/>
        <v>0</v>
      </c>
      <c r="F217">
        <f t="shared" si="5"/>
        <v>0</v>
      </c>
      <c r="G217">
        <f t="shared" si="6"/>
        <v>0</v>
      </c>
      <c r="H217">
        <f t="shared" si="7"/>
        <v>0</v>
      </c>
      <c r="I217">
        <f t="shared" si="8"/>
        <v>0</v>
      </c>
      <c r="J217">
        <f t="shared" si="9"/>
        <v>0</v>
      </c>
      <c r="K217">
        <f t="shared" si="10"/>
        <v>0</v>
      </c>
      <c r="L217">
        <f t="shared" si="11"/>
        <v>0</v>
      </c>
      <c r="M217">
        <f t="shared" si="12"/>
        <v>0</v>
      </c>
    </row>
    <row r="218" spans="1:13" x14ac:dyDescent="0.35">
      <c r="A218" t="s">
        <v>29</v>
      </c>
      <c r="B218">
        <v>15</v>
      </c>
      <c r="C218">
        <f t="shared" si="2"/>
        <v>0</v>
      </c>
      <c r="D218">
        <f t="shared" si="3"/>
        <v>0</v>
      </c>
      <c r="E218">
        <f t="shared" si="4"/>
        <v>0</v>
      </c>
      <c r="F218">
        <f t="shared" si="5"/>
        <v>0</v>
      </c>
      <c r="G218">
        <f t="shared" si="6"/>
        <v>0</v>
      </c>
      <c r="H218">
        <f t="shared" si="7"/>
        <v>0</v>
      </c>
      <c r="I218">
        <f t="shared" si="8"/>
        <v>0</v>
      </c>
      <c r="J218">
        <f t="shared" si="9"/>
        <v>0</v>
      </c>
      <c r="K218">
        <f t="shared" si="10"/>
        <v>0</v>
      </c>
      <c r="L218">
        <f t="shared" si="11"/>
        <v>0</v>
      </c>
      <c r="M218">
        <f t="shared" si="12"/>
        <v>0</v>
      </c>
    </row>
    <row r="219" spans="1:13" x14ac:dyDescent="0.35">
      <c r="A219" t="s">
        <v>29</v>
      </c>
      <c r="B219">
        <v>16</v>
      </c>
      <c r="C219">
        <f t="shared" si="2"/>
        <v>0</v>
      </c>
      <c r="D219">
        <f t="shared" si="3"/>
        <v>0</v>
      </c>
      <c r="E219">
        <f t="shared" si="4"/>
        <v>0</v>
      </c>
      <c r="F219">
        <f t="shared" si="5"/>
        <v>0</v>
      </c>
      <c r="G219">
        <f t="shared" si="6"/>
        <v>0</v>
      </c>
      <c r="H219">
        <f t="shared" si="7"/>
        <v>0</v>
      </c>
      <c r="I219">
        <f t="shared" si="8"/>
        <v>0</v>
      </c>
      <c r="J219">
        <f t="shared" si="9"/>
        <v>0</v>
      </c>
      <c r="K219">
        <f t="shared" si="10"/>
        <v>0</v>
      </c>
      <c r="L219">
        <f t="shared" si="11"/>
        <v>0</v>
      </c>
      <c r="M219">
        <f t="shared" si="12"/>
        <v>0</v>
      </c>
    </row>
    <row r="220" spans="1:13" x14ac:dyDescent="0.35">
      <c r="A220" t="s">
        <v>29</v>
      </c>
      <c r="B220">
        <v>17</v>
      </c>
      <c r="C220">
        <f t="shared" si="2"/>
        <v>0</v>
      </c>
      <c r="D220">
        <f t="shared" si="3"/>
        <v>0</v>
      </c>
      <c r="E220">
        <f t="shared" si="4"/>
        <v>0</v>
      </c>
      <c r="F220">
        <f t="shared" si="5"/>
        <v>0</v>
      </c>
      <c r="G220">
        <f t="shared" si="6"/>
        <v>0</v>
      </c>
      <c r="H220">
        <f t="shared" si="7"/>
        <v>0</v>
      </c>
      <c r="I220">
        <f t="shared" si="8"/>
        <v>0</v>
      </c>
      <c r="J220">
        <f t="shared" si="9"/>
        <v>0</v>
      </c>
      <c r="K220">
        <f t="shared" si="10"/>
        <v>0</v>
      </c>
      <c r="L220">
        <f t="shared" si="11"/>
        <v>0</v>
      </c>
      <c r="M220">
        <f t="shared" si="12"/>
        <v>0</v>
      </c>
    </row>
    <row r="221" spans="1:13" x14ac:dyDescent="0.35">
      <c r="A221" t="s">
        <v>29</v>
      </c>
      <c r="B221">
        <v>18</v>
      </c>
      <c r="C221">
        <f t="shared" si="2"/>
        <v>0</v>
      </c>
      <c r="D221">
        <f t="shared" si="3"/>
        <v>0</v>
      </c>
      <c r="E221">
        <f t="shared" si="4"/>
        <v>0</v>
      </c>
      <c r="F221">
        <f t="shared" si="5"/>
        <v>0</v>
      </c>
      <c r="G221">
        <f t="shared" si="6"/>
        <v>0</v>
      </c>
      <c r="H221">
        <f t="shared" si="7"/>
        <v>0</v>
      </c>
      <c r="I221">
        <f t="shared" si="8"/>
        <v>0</v>
      </c>
      <c r="J221">
        <f t="shared" si="9"/>
        <v>0</v>
      </c>
      <c r="K221">
        <f t="shared" si="10"/>
        <v>0</v>
      </c>
      <c r="L221">
        <f t="shared" si="11"/>
        <v>0</v>
      </c>
      <c r="M221">
        <f t="shared" si="12"/>
        <v>0</v>
      </c>
    </row>
    <row r="222" spans="1:13" x14ac:dyDescent="0.35">
      <c r="A222" t="s">
        <v>29</v>
      </c>
      <c r="B222">
        <v>19</v>
      </c>
      <c r="C222">
        <f t="shared" si="2"/>
        <v>0</v>
      </c>
      <c r="D222">
        <f t="shared" si="3"/>
        <v>0</v>
      </c>
      <c r="E222">
        <f t="shared" si="4"/>
        <v>0</v>
      </c>
      <c r="F222">
        <f t="shared" si="5"/>
        <v>0</v>
      </c>
      <c r="G222">
        <f t="shared" si="6"/>
        <v>0</v>
      </c>
      <c r="H222">
        <f t="shared" si="7"/>
        <v>0</v>
      </c>
      <c r="I222">
        <f t="shared" si="8"/>
        <v>0</v>
      </c>
      <c r="J222">
        <f t="shared" si="9"/>
        <v>0</v>
      </c>
      <c r="K222">
        <f t="shared" si="10"/>
        <v>0</v>
      </c>
      <c r="L222">
        <f t="shared" si="11"/>
        <v>0</v>
      </c>
      <c r="M222">
        <f t="shared" si="12"/>
        <v>0</v>
      </c>
    </row>
    <row r="223" spans="1:13" x14ac:dyDescent="0.35">
      <c r="A223" t="s">
        <v>29</v>
      </c>
      <c r="B223">
        <v>20</v>
      </c>
      <c r="C223">
        <f t="shared" si="2"/>
        <v>0</v>
      </c>
      <c r="D223">
        <f t="shared" si="3"/>
        <v>0</v>
      </c>
      <c r="E223">
        <f t="shared" si="4"/>
        <v>0</v>
      </c>
      <c r="F223">
        <f t="shared" si="5"/>
        <v>0</v>
      </c>
      <c r="G223">
        <f t="shared" si="6"/>
        <v>0</v>
      </c>
      <c r="H223">
        <f t="shared" si="7"/>
        <v>0</v>
      </c>
      <c r="I223">
        <f t="shared" si="8"/>
        <v>0</v>
      </c>
      <c r="J223">
        <f t="shared" si="9"/>
        <v>0</v>
      </c>
      <c r="K223">
        <f t="shared" si="10"/>
        <v>0</v>
      </c>
      <c r="L223">
        <f t="shared" si="11"/>
        <v>0</v>
      </c>
      <c r="M223">
        <f t="shared" si="12"/>
        <v>0</v>
      </c>
    </row>
    <row r="224" spans="1:13" x14ac:dyDescent="0.35">
      <c r="A224" t="s">
        <v>29</v>
      </c>
      <c r="B224">
        <v>21</v>
      </c>
      <c r="C224">
        <f t="shared" si="2"/>
        <v>0</v>
      </c>
      <c r="D224">
        <f t="shared" si="3"/>
        <v>0</v>
      </c>
      <c r="E224">
        <f t="shared" si="4"/>
        <v>0</v>
      </c>
      <c r="F224">
        <f t="shared" si="5"/>
        <v>0</v>
      </c>
      <c r="G224">
        <f t="shared" si="6"/>
        <v>0</v>
      </c>
      <c r="H224">
        <f t="shared" si="7"/>
        <v>0</v>
      </c>
      <c r="I224">
        <f t="shared" si="8"/>
        <v>0</v>
      </c>
      <c r="J224">
        <f t="shared" si="9"/>
        <v>0</v>
      </c>
      <c r="K224">
        <f t="shared" si="10"/>
        <v>0</v>
      </c>
      <c r="L224">
        <f t="shared" si="11"/>
        <v>0</v>
      </c>
      <c r="M224">
        <f t="shared" si="12"/>
        <v>0</v>
      </c>
    </row>
    <row r="225" spans="1:13" x14ac:dyDescent="0.35">
      <c r="A225" t="s">
        <v>29</v>
      </c>
      <c r="B225">
        <v>22</v>
      </c>
      <c r="C225">
        <f t="shared" si="2"/>
        <v>0</v>
      </c>
      <c r="D225">
        <f t="shared" si="3"/>
        <v>0</v>
      </c>
      <c r="E225">
        <f t="shared" si="4"/>
        <v>0</v>
      </c>
      <c r="F225">
        <f t="shared" si="5"/>
        <v>0</v>
      </c>
      <c r="G225">
        <f t="shared" si="6"/>
        <v>0</v>
      </c>
      <c r="H225">
        <f t="shared" si="7"/>
        <v>0</v>
      </c>
      <c r="I225">
        <f t="shared" si="8"/>
        <v>0</v>
      </c>
      <c r="J225">
        <f t="shared" si="9"/>
        <v>0</v>
      </c>
      <c r="K225">
        <f t="shared" si="10"/>
        <v>0</v>
      </c>
      <c r="L225">
        <f t="shared" si="11"/>
        <v>0</v>
      </c>
      <c r="M225">
        <f t="shared" si="12"/>
        <v>0</v>
      </c>
    </row>
    <row r="226" spans="1:13" x14ac:dyDescent="0.35">
      <c r="A226" t="s">
        <v>29</v>
      </c>
      <c r="B226">
        <v>23</v>
      </c>
      <c r="C226">
        <f t="shared" si="2"/>
        <v>0</v>
      </c>
      <c r="D226">
        <f t="shared" si="3"/>
        <v>0</v>
      </c>
      <c r="E226">
        <f t="shared" si="4"/>
        <v>0</v>
      </c>
      <c r="F226">
        <f t="shared" si="5"/>
        <v>0</v>
      </c>
      <c r="G226">
        <f t="shared" si="6"/>
        <v>0</v>
      </c>
      <c r="H226">
        <f t="shared" si="7"/>
        <v>0</v>
      </c>
      <c r="I226">
        <f t="shared" si="8"/>
        <v>0</v>
      </c>
      <c r="J226">
        <f t="shared" si="9"/>
        <v>0</v>
      </c>
      <c r="K226">
        <f t="shared" si="10"/>
        <v>0</v>
      </c>
      <c r="L226">
        <f t="shared" si="11"/>
        <v>0</v>
      </c>
      <c r="M226">
        <f t="shared" si="12"/>
        <v>0</v>
      </c>
    </row>
    <row r="227" spans="1:13" x14ac:dyDescent="0.35">
      <c r="A227" t="s">
        <v>29</v>
      </c>
      <c r="B227">
        <v>24</v>
      </c>
      <c r="C227">
        <f t="shared" si="2"/>
        <v>0</v>
      </c>
      <c r="D227">
        <f t="shared" si="3"/>
        <v>0</v>
      </c>
      <c r="E227">
        <f t="shared" si="4"/>
        <v>0</v>
      </c>
      <c r="F227">
        <f t="shared" si="5"/>
        <v>0</v>
      </c>
      <c r="G227">
        <f t="shared" si="6"/>
        <v>0</v>
      </c>
      <c r="H227">
        <f t="shared" si="7"/>
        <v>0</v>
      </c>
      <c r="I227">
        <f t="shared" si="8"/>
        <v>0</v>
      </c>
      <c r="J227">
        <f t="shared" si="9"/>
        <v>0</v>
      </c>
      <c r="K227">
        <f t="shared" si="10"/>
        <v>0</v>
      </c>
      <c r="L227">
        <f t="shared" si="11"/>
        <v>0</v>
      </c>
      <c r="M227">
        <f t="shared" si="12"/>
        <v>0</v>
      </c>
    </row>
  </sheetData>
  <mergeCells count="4">
    <mergeCell ref="B2:C2"/>
    <mergeCell ref="A203:B203"/>
    <mergeCell ref="A1:D1"/>
    <mergeCell ref="D170:E170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8"/>
  <sheetViews>
    <sheetView topLeftCell="A3" zoomScale="90" zoomScaleNormal="100" workbookViewId="0">
      <pane ySplit="1" topLeftCell="A219" activePane="bottomLeft" state="frozen"/>
      <selection activeCell="B168" sqref="A168:XFD168"/>
      <selection pane="bottomLeft" activeCell="G229" sqref="G229"/>
    </sheetView>
  </sheetViews>
  <sheetFormatPr defaultRowHeight="14.5" x14ac:dyDescent="0.35"/>
  <cols>
    <col min="3" max="3" width="25.1796875" customWidth="1"/>
    <col min="4" max="4" width="17.6328125" customWidth="1"/>
    <col min="5" max="5" width="17.90625" customWidth="1"/>
    <col min="6" max="6" width="15.81640625" customWidth="1"/>
    <col min="7" max="7" width="14.08984375" customWidth="1"/>
    <col min="8" max="8" width="13.54296875" customWidth="1"/>
  </cols>
  <sheetData>
    <row r="1" spans="1:17" x14ac:dyDescent="0.35">
      <c r="A1" s="16" t="s">
        <v>19</v>
      </c>
      <c r="B1" s="16"/>
      <c r="C1" s="16"/>
    </row>
    <row r="2" spans="1:17" x14ac:dyDescent="0.35">
      <c r="B2" s="16" t="s">
        <v>47</v>
      </c>
      <c r="C2" s="16"/>
    </row>
    <row r="3" spans="1:17" ht="70.75" customHeight="1" x14ac:dyDescent="0.35">
      <c r="B3" t="s">
        <v>0</v>
      </c>
      <c r="C3" s="1" t="s">
        <v>39</v>
      </c>
      <c r="D3" s="1" t="s">
        <v>40</v>
      </c>
      <c r="E3" s="1" t="s">
        <v>89</v>
      </c>
      <c r="F3" s="1" t="s">
        <v>90</v>
      </c>
      <c r="G3" s="1" t="s">
        <v>48</v>
      </c>
      <c r="H3" s="1" t="s">
        <v>109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B4" s="2">
        <v>100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17" x14ac:dyDescent="0.35">
      <c r="B5" s="2">
        <v>101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17" x14ac:dyDescent="0.35">
      <c r="B6" s="2">
        <v>102</v>
      </c>
      <c r="C6" s="4">
        <v>0</v>
      </c>
      <c r="D6" s="3">
        <v>8</v>
      </c>
      <c r="E6" s="4">
        <v>0</v>
      </c>
      <c r="F6" s="4">
        <v>0</v>
      </c>
      <c r="G6" s="4">
        <v>0</v>
      </c>
      <c r="H6" s="4">
        <v>0</v>
      </c>
    </row>
    <row r="7" spans="1:17" x14ac:dyDescent="0.35">
      <c r="B7" s="2">
        <v>103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17" x14ac:dyDescent="0.35">
      <c r="B8" s="2">
        <v>104</v>
      </c>
      <c r="C8" s="3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17" x14ac:dyDescent="0.35">
      <c r="B9" s="2">
        <v>105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17" x14ac:dyDescent="0.35">
      <c r="B10" s="2">
        <v>106</v>
      </c>
      <c r="C10" s="3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17" x14ac:dyDescent="0.35">
      <c r="B11" s="2">
        <v>107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17" x14ac:dyDescent="0.35">
      <c r="B12" s="2">
        <v>108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17" x14ac:dyDescent="0.35">
      <c r="B13" s="2">
        <v>109</v>
      </c>
      <c r="C13" s="3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17" x14ac:dyDescent="0.35">
      <c r="B14" s="2">
        <v>110</v>
      </c>
      <c r="C14" s="3">
        <v>4</v>
      </c>
      <c r="D14" s="4">
        <v>0</v>
      </c>
      <c r="E14" s="3">
        <v>3</v>
      </c>
      <c r="F14" s="4">
        <v>0</v>
      </c>
      <c r="G14" s="4">
        <v>0</v>
      </c>
      <c r="H14" s="4">
        <v>0</v>
      </c>
    </row>
    <row r="15" spans="1:17" x14ac:dyDescent="0.35">
      <c r="B15" s="2">
        <v>111</v>
      </c>
      <c r="C15" s="3">
        <v>2</v>
      </c>
      <c r="D15" s="3">
        <v>2</v>
      </c>
      <c r="E15" s="4">
        <v>0</v>
      </c>
      <c r="F15" s="4">
        <v>0</v>
      </c>
      <c r="G15" s="4">
        <v>0</v>
      </c>
      <c r="H15" s="4">
        <v>0</v>
      </c>
    </row>
    <row r="16" spans="1:17" x14ac:dyDescent="0.35">
      <c r="B16" s="2">
        <v>112</v>
      </c>
      <c r="C16" s="3">
        <v>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2:8" x14ac:dyDescent="0.35">
      <c r="B17" s="2">
        <v>113</v>
      </c>
      <c r="C17" s="3">
        <v>1</v>
      </c>
      <c r="D17" s="3">
        <v>1</v>
      </c>
      <c r="E17" s="4">
        <v>0</v>
      </c>
      <c r="F17" s="4">
        <v>0</v>
      </c>
      <c r="G17" s="3">
        <v>4</v>
      </c>
      <c r="H17" s="4">
        <v>0</v>
      </c>
    </row>
    <row r="18" spans="2:8" x14ac:dyDescent="0.35">
      <c r="B18" s="2">
        <v>114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2:8" x14ac:dyDescent="0.35">
      <c r="B19" s="2">
        <v>115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2:8" x14ac:dyDescent="0.35">
      <c r="B20" s="2">
        <v>116</v>
      </c>
      <c r="C20" s="4">
        <v>0</v>
      </c>
      <c r="D20" s="3">
        <v>2</v>
      </c>
      <c r="E20" s="4">
        <v>0</v>
      </c>
      <c r="F20" s="3">
        <v>1</v>
      </c>
      <c r="G20" s="4">
        <v>0</v>
      </c>
      <c r="H20" s="4">
        <v>0</v>
      </c>
    </row>
    <row r="21" spans="2:8" x14ac:dyDescent="0.35">
      <c r="B21" s="2">
        <v>117</v>
      </c>
      <c r="C21" s="3">
        <v>2</v>
      </c>
      <c r="D21" s="4">
        <v>0</v>
      </c>
      <c r="E21" s="4">
        <v>0</v>
      </c>
      <c r="F21" s="4">
        <v>0</v>
      </c>
      <c r="G21" s="3">
        <v>2</v>
      </c>
      <c r="H21" s="3">
        <v>2</v>
      </c>
    </row>
    <row r="22" spans="2:8" x14ac:dyDescent="0.35">
      <c r="B22" s="2">
        <v>118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2:8" x14ac:dyDescent="0.35">
      <c r="B23" s="2">
        <v>119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2:8" x14ac:dyDescent="0.35">
      <c r="B24" s="2">
        <v>120</v>
      </c>
      <c r="C24" s="3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2:8" x14ac:dyDescent="0.35">
      <c r="B25" s="2">
        <v>121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2:8" x14ac:dyDescent="0.35">
      <c r="B26" s="2">
        <v>122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2:8" x14ac:dyDescent="0.35">
      <c r="B27" s="2">
        <v>123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2:8" x14ac:dyDescent="0.35">
      <c r="B28" s="2">
        <v>124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2:8" x14ac:dyDescent="0.35">
      <c r="B29" s="2">
        <v>125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2:8" x14ac:dyDescent="0.35">
      <c r="B30" s="2">
        <v>126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2:8" x14ac:dyDescent="0.35">
      <c r="B31" s="2">
        <v>127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2:8" x14ac:dyDescent="0.35">
      <c r="B32" s="2">
        <v>128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2:8" x14ac:dyDescent="0.35">
      <c r="B33" s="2">
        <v>129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2:8" x14ac:dyDescent="0.35">
      <c r="B34" s="2">
        <v>130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2:8" x14ac:dyDescent="0.35">
      <c r="B35" s="2">
        <v>131</v>
      </c>
      <c r="C35" s="4">
        <v>0</v>
      </c>
      <c r="D35" s="4">
        <v>0</v>
      </c>
      <c r="E35" s="4">
        <v>0</v>
      </c>
      <c r="F35" s="4">
        <v>0</v>
      </c>
      <c r="G35" s="3">
        <v>12</v>
      </c>
      <c r="H35" s="4">
        <v>0</v>
      </c>
    </row>
    <row r="36" spans="2:8" x14ac:dyDescent="0.35">
      <c r="B36" s="2">
        <v>132</v>
      </c>
      <c r="C36" s="4">
        <v>0</v>
      </c>
      <c r="D36" s="4">
        <v>0</v>
      </c>
      <c r="E36" s="4">
        <v>0</v>
      </c>
      <c r="F36" s="4">
        <v>0</v>
      </c>
      <c r="G36" s="3">
        <v>8</v>
      </c>
      <c r="H36" s="4">
        <v>0</v>
      </c>
    </row>
    <row r="37" spans="2:8" x14ac:dyDescent="0.35">
      <c r="B37" s="2">
        <v>133</v>
      </c>
      <c r="C37" s="4">
        <v>0</v>
      </c>
      <c r="D37" s="4">
        <v>0</v>
      </c>
      <c r="E37" s="4">
        <v>0</v>
      </c>
      <c r="F37" s="4">
        <v>0</v>
      </c>
      <c r="G37" s="3">
        <v>12</v>
      </c>
      <c r="H37" s="4">
        <v>0</v>
      </c>
    </row>
    <row r="38" spans="2:8" x14ac:dyDescent="0.35">
      <c r="B38" s="2">
        <v>134</v>
      </c>
      <c r="C38" s="3">
        <v>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2:8" x14ac:dyDescent="0.35">
      <c r="B39" s="2">
        <v>135</v>
      </c>
      <c r="C39" s="3">
        <v>3</v>
      </c>
      <c r="D39" s="4">
        <v>0</v>
      </c>
      <c r="E39" s="3">
        <v>1</v>
      </c>
      <c r="F39" s="4">
        <v>0</v>
      </c>
      <c r="G39" s="4">
        <v>0</v>
      </c>
      <c r="H39" s="4">
        <v>0</v>
      </c>
    </row>
    <row r="40" spans="2:8" x14ac:dyDescent="0.35">
      <c r="B40" s="2">
        <v>136</v>
      </c>
      <c r="C40" s="4">
        <v>0</v>
      </c>
      <c r="D40" s="4">
        <v>0</v>
      </c>
      <c r="E40" s="4">
        <v>0</v>
      </c>
      <c r="F40" s="4">
        <v>0</v>
      </c>
      <c r="G40" s="3">
        <v>6</v>
      </c>
      <c r="H40" s="4">
        <v>0</v>
      </c>
    </row>
    <row r="41" spans="2:8" x14ac:dyDescent="0.35">
      <c r="B41" s="2">
        <v>137</v>
      </c>
      <c r="C41" s="4">
        <v>0</v>
      </c>
      <c r="D41" s="4">
        <v>0</v>
      </c>
      <c r="E41" s="4">
        <v>0</v>
      </c>
      <c r="F41" s="4">
        <v>0</v>
      </c>
      <c r="G41" s="3">
        <v>7</v>
      </c>
      <c r="H41" s="4">
        <v>0</v>
      </c>
    </row>
    <row r="42" spans="2:8" x14ac:dyDescent="0.35">
      <c r="B42" s="2">
        <v>138</v>
      </c>
      <c r="C42" s="4">
        <v>0</v>
      </c>
      <c r="D42" s="4">
        <v>0</v>
      </c>
      <c r="E42" s="4">
        <v>0</v>
      </c>
      <c r="F42" s="4">
        <v>0</v>
      </c>
      <c r="G42" s="3">
        <v>4</v>
      </c>
      <c r="H42" s="4">
        <v>0</v>
      </c>
    </row>
    <row r="43" spans="2:8" x14ac:dyDescent="0.35">
      <c r="B43" s="2">
        <v>139</v>
      </c>
      <c r="C43" s="4">
        <v>0</v>
      </c>
      <c r="D43" s="3">
        <v>2</v>
      </c>
      <c r="E43" s="4">
        <v>0</v>
      </c>
      <c r="F43" s="4">
        <v>0</v>
      </c>
      <c r="G43" s="3">
        <v>6</v>
      </c>
      <c r="H43" s="4">
        <v>0</v>
      </c>
    </row>
    <row r="44" spans="2:8" x14ac:dyDescent="0.35">
      <c r="B44" s="2">
        <v>140</v>
      </c>
      <c r="C44" s="4">
        <v>0</v>
      </c>
      <c r="D44" s="4">
        <v>0</v>
      </c>
      <c r="E44" s="4">
        <v>0</v>
      </c>
      <c r="F44" s="4">
        <v>0</v>
      </c>
      <c r="G44" s="3">
        <v>7</v>
      </c>
      <c r="H44" s="4">
        <v>0</v>
      </c>
    </row>
    <row r="45" spans="2:8" x14ac:dyDescent="0.35">
      <c r="B45" s="2">
        <v>141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2:8" x14ac:dyDescent="0.35">
      <c r="B46" s="2">
        <v>142</v>
      </c>
      <c r="C46" s="4">
        <v>0</v>
      </c>
      <c r="D46" s="3">
        <v>3</v>
      </c>
      <c r="E46" s="4">
        <v>0</v>
      </c>
      <c r="F46" s="4">
        <v>0</v>
      </c>
      <c r="G46" s="4">
        <v>0</v>
      </c>
      <c r="H46" s="4">
        <v>0</v>
      </c>
    </row>
    <row r="47" spans="2:8" x14ac:dyDescent="0.35">
      <c r="B47" s="2">
        <v>143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2:8" x14ac:dyDescent="0.35">
      <c r="B48" s="2">
        <v>144</v>
      </c>
      <c r="C48" s="3">
        <v>1</v>
      </c>
      <c r="D48" s="3">
        <v>3</v>
      </c>
      <c r="E48" s="4">
        <v>0</v>
      </c>
      <c r="F48" s="4">
        <v>0</v>
      </c>
      <c r="G48" s="3">
        <v>12</v>
      </c>
      <c r="H48" s="4">
        <v>0</v>
      </c>
    </row>
    <row r="49" spans="2:8" x14ac:dyDescent="0.35">
      <c r="B49" s="2">
        <v>145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2:8" x14ac:dyDescent="0.35">
      <c r="B50" s="2">
        <v>146</v>
      </c>
      <c r="C50" s="3">
        <v>1</v>
      </c>
      <c r="D50" s="3">
        <v>1</v>
      </c>
      <c r="E50" s="4">
        <v>0</v>
      </c>
      <c r="F50" s="3">
        <v>2</v>
      </c>
      <c r="G50" s="3">
        <v>25</v>
      </c>
      <c r="H50" s="4">
        <v>0</v>
      </c>
    </row>
    <row r="51" spans="2:8" x14ac:dyDescent="0.35">
      <c r="B51" s="2">
        <v>147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2:8" x14ac:dyDescent="0.35">
      <c r="B52" s="2">
        <v>148</v>
      </c>
      <c r="C52" s="3">
        <v>1</v>
      </c>
      <c r="D52" s="4">
        <v>0</v>
      </c>
      <c r="E52" s="4">
        <v>0</v>
      </c>
      <c r="F52" s="4">
        <v>0</v>
      </c>
      <c r="G52" s="3">
        <v>6</v>
      </c>
      <c r="H52" s="4"/>
    </row>
    <row r="53" spans="2:8" x14ac:dyDescent="0.35">
      <c r="B53" s="2">
        <v>149</v>
      </c>
      <c r="C53" s="3">
        <v>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2:8" x14ac:dyDescent="0.35">
      <c r="B54" s="2">
        <v>150</v>
      </c>
      <c r="C54" s="15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2:8" x14ac:dyDescent="0.35">
      <c r="B55" s="2">
        <v>151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2:8" x14ac:dyDescent="0.35">
      <c r="B56" s="2">
        <v>152</v>
      </c>
      <c r="C56" s="4">
        <v>0</v>
      </c>
      <c r="D56" s="3">
        <v>1</v>
      </c>
      <c r="E56" s="4">
        <v>0</v>
      </c>
      <c r="F56" s="4">
        <v>0</v>
      </c>
      <c r="G56" s="4">
        <v>0</v>
      </c>
      <c r="H56" s="4">
        <v>0</v>
      </c>
    </row>
    <row r="57" spans="2:8" x14ac:dyDescent="0.35">
      <c r="B57" s="2">
        <v>153</v>
      </c>
      <c r="C57" s="4">
        <v>0</v>
      </c>
      <c r="D57" s="4">
        <v>0</v>
      </c>
      <c r="E57" s="3">
        <v>1</v>
      </c>
      <c r="F57" s="3">
        <v>1</v>
      </c>
      <c r="G57" s="4">
        <v>0</v>
      </c>
      <c r="H57" s="4">
        <v>0</v>
      </c>
    </row>
    <row r="58" spans="2:8" x14ac:dyDescent="0.35">
      <c r="B58" s="2">
        <v>154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2:8" x14ac:dyDescent="0.35">
      <c r="B59" s="2">
        <v>155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2:8" x14ac:dyDescent="0.35">
      <c r="B60" s="2">
        <v>156</v>
      </c>
      <c r="C60" s="3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2:8" x14ac:dyDescent="0.35">
      <c r="B61" s="2">
        <v>157</v>
      </c>
      <c r="C61" s="3">
        <v>2</v>
      </c>
      <c r="D61" s="3">
        <v>2</v>
      </c>
      <c r="E61" s="3">
        <v>2</v>
      </c>
      <c r="F61" s="4">
        <v>0</v>
      </c>
      <c r="G61" s="4">
        <v>0</v>
      </c>
      <c r="H61" s="4">
        <v>0</v>
      </c>
    </row>
    <row r="62" spans="2:8" x14ac:dyDescent="0.35">
      <c r="B62" s="2">
        <v>158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2:8" x14ac:dyDescent="0.35">
      <c r="B63" s="2">
        <v>159</v>
      </c>
      <c r="C63" s="4">
        <v>0</v>
      </c>
      <c r="D63" s="3">
        <v>6</v>
      </c>
      <c r="E63" s="4">
        <v>0</v>
      </c>
      <c r="F63" s="4">
        <v>0</v>
      </c>
      <c r="G63" s="4">
        <v>0</v>
      </c>
      <c r="H63" s="4">
        <v>0</v>
      </c>
    </row>
    <row r="64" spans="2:8" x14ac:dyDescent="0.35">
      <c r="B64" s="2">
        <v>160</v>
      </c>
      <c r="C64" s="4">
        <v>0</v>
      </c>
      <c r="D64" s="4">
        <v>0</v>
      </c>
      <c r="E64" s="3">
        <v>1</v>
      </c>
      <c r="F64" s="4">
        <v>0</v>
      </c>
      <c r="G64" s="4">
        <v>0</v>
      </c>
      <c r="H64" s="4">
        <v>0</v>
      </c>
    </row>
    <row r="65" spans="2:8" x14ac:dyDescent="0.35">
      <c r="B65" s="2">
        <v>161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2:8" x14ac:dyDescent="0.35">
      <c r="B66" s="2">
        <v>162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2:8" x14ac:dyDescent="0.35">
      <c r="B67" s="2">
        <v>163</v>
      </c>
      <c r="C67" s="4">
        <v>0</v>
      </c>
      <c r="D67" s="3">
        <v>4</v>
      </c>
      <c r="E67" s="4">
        <v>0</v>
      </c>
      <c r="F67" s="4">
        <v>0</v>
      </c>
      <c r="G67" s="4">
        <v>0</v>
      </c>
      <c r="H67" s="4">
        <v>0</v>
      </c>
    </row>
    <row r="68" spans="2:8" x14ac:dyDescent="0.35">
      <c r="B68" s="2">
        <v>164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2:8" x14ac:dyDescent="0.35">
      <c r="B69" s="2">
        <v>165</v>
      </c>
      <c r="C69" s="4">
        <v>0</v>
      </c>
      <c r="D69" s="4">
        <v>0</v>
      </c>
      <c r="E69" s="4">
        <v>0</v>
      </c>
      <c r="F69" s="3">
        <v>2</v>
      </c>
      <c r="G69" s="4">
        <v>0</v>
      </c>
      <c r="H69" s="4">
        <v>0</v>
      </c>
    </row>
    <row r="70" spans="2:8" x14ac:dyDescent="0.35">
      <c r="B70" s="2">
        <v>166</v>
      </c>
      <c r="C70" s="4">
        <v>0</v>
      </c>
      <c r="D70" s="4">
        <v>0</v>
      </c>
      <c r="E70" s="4">
        <v>0</v>
      </c>
      <c r="F70" s="4">
        <v>0</v>
      </c>
      <c r="G70" s="3">
        <v>8</v>
      </c>
      <c r="H70" s="4">
        <v>0</v>
      </c>
    </row>
    <row r="71" spans="2:8" x14ac:dyDescent="0.35">
      <c r="B71" s="2">
        <v>167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2:8" x14ac:dyDescent="0.35">
      <c r="B72" s="2">
        <v>168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2:8" x14ac:dyDescent="0.35">
      <c r="B73" s="2">
        <v>169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2:8" x14ac:dyDescent="0.35">
      <c r="B74" s="2">
        <v>170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2:8" x14ac:dyDescent="0.35">
      <c r="B75" s="2">
        <v>171</v>
      </c>
      <c r="C75" s="4">
        <v>0</v>
      </c>
      <c r="D75" s="4">
        <v>0</v>
      </c>
      <c r="E75" s="4">
        <v>0</v>
      </c>
      <c r="F75" s="3">
        <v>4</v>
      </c>
      <c r="G75" s="4">
        <v>0</v>
      </c>
      <c r="H75" s="4">
        <v>0</v>
      </c>
    </row>
    <row r="76" spans="2:8" x14ac:dyDescent="0.35">
      <c r="B76" s="2">
        <v>172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2:8" x14ac:dyDescent="0.35">
      <c r="B77" s="2">
        <v>173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2:8" x14ac:dyDescent="0.35">
      <c r="B78" s="2">
        <v>174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2:8" x14ac:dyDescent="0.35">
      <c r="B79" s="2">
        <v>175</v>
      </c>
      <c r="C79" s="4">
        <v>0</v>
      </c>
      <c r="D79" s="4">
        <v>0</v>
      </c>
      <c r="E79" s="4">
        <v>0</v>
      </c>
      <c r="F79" s="3">
        <v>1</v>
      </c>
      <c r="G79" s="3">
        <v>2</v>
      </c>
      <c r="H79" s="4">
        <v>0</v>
      </c>
    </row>
    <row r="80" spans="2:8" x14ac:dyDescent="0.35">
      <c r="B80" s="2">
        <v>176</v>
      </c>
      <c r="C80" s="3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2:8" x14ac:dyDescent="0.35">
      <c r="B81" s="2">
        <v>177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2:8" x14ac:dyDescent="0.35">
      <c r="B82" s="2">
        <v>178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2:8" x14ac:dyDescent="0.35">
      <c r="B83" s="2">
        <v>179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2:8" x14ac:dyDescent="0.35">
      <c r="B84" s="2">
        <v>180</v>
      </c>
      <c r="C84" s="4">
        <v>0</v>
      </c>
      <c r="D84" s="4">
        <v>0</v>
      </c>
      <c r="E84" s="4">
        <v>0</v>
      </c>
      <c r="F84" s="4">
        <v>0</v>
      </c>
      <c r="G84" s="3">
        <v>3</v>
      </c>
      <c r="H84" s="4">
        <v>0</v>
      </c>
    </row>
    <row r="85" spans="2:8" x14ac:dyDescent="0.35">
      <c r="B85" s="2">
        <v>181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2:8" x14ac:dyDescent="0.35">
      <c r="B86" s="2">
        <v>182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2:8" x14ac:dyDescent="0.35">
      <c r="B87" s="2">
        <v>183</v>
      </c>
      <c r="C87" s="4">
        <v>0</v>
      </c>
      <c r="D87" s="4">
        <v>0</v>
      </c>
      <c r="E87" s="4">
        <v>0</v>
      </c>
      <c r="F87" s="4">
        <v>0</v>
      </c>
      <c r="G87" s="3">
        <v>8</v>
      </c>
      <c r="H87" s="4">
        <v>0</v>
      </c>
    </row>
    <row r="88" spans="2:8" x14ac:dyDescent="0.35">
      <c r="B88" s="2">
        <v>184</v>
      </c>
      <c r="C88" s="3">
        <v>1</v>
      </c>
      <c r="D88" s="3">
        <v>1</v>
      </c>
      <c r="E88" s="3">
        <v>1</v>
      </c>
      <c r="F88" s="4">
        <v>0</v>
      </c>
      <c r="G88" s="4">
        <v>0</v>
      </c>
      <c r="H88" s="4">
        <v>0</v>
      </c>
    </row>
    <row r="89" spans="2:8" x14ac:dyDescent="0.35">
      <c r="B89" s="2">
        <v>185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2:8" x14ac:dyDescent="0.35">
      <c r="B90" s="2">
        <v>186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2:8" x14ac:dyDescent="0.35">
      <c r="B91" s="2">
        <v>187</v>
      </c>
      <c r="C91" s="4">
        <v>0</v>
      </c>
      <c r="D91" s="3">
        <v>6</v>
      </c>
      <c r="E91" s="4">
        <v>0</v>
      </c>
      <c r="F91" s="4">
        <v>0</v>
      </c>
      <c r="G91" s="3">
        <v>12</v>
      </c>
      <c r="H91" s="4">
        <v>0</v>
      </c>
    </row>
    <row r="92" spans="2:8" x14ac:dyDescent="0.35">
      <c r="B92" s="2">
        <v>188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2:8" x14ac:dyDescent="0.35">
      <c r="B93" s="2">
        <v>189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2:8" x14ac:dyDescent="0.35">
      <c r="B94" s="2">
        <v>190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2:8" x14ac:dyDescent="0.35">
      <c r="B95" s="2">
        <v>191</v>
      </c>
      <c r="C95" s="4">
        <v>0</v>
      </c>
      <c r="D95" s="4">
        <v>0</v>
      </c>
      <c r="E95" s="4">
        <v>0</v>
      </c>
      <c r="F95" s="4">
        <v>0</v>
      </c>
      <c r="G95" s="3">
        <v>6</v>
      </c>
      <c r="H95" s="4">
        <v>0</v>
      </c>
    </row>
    <row r="96" spans="2:8" x14ac:dyDescent="0.35">
      <c r="B96" s="2">
        <v>192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2:8" x14ac:dyDescent="0.35">
      <c r="B97" s="2">
        <v>193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2:8" x14ac:dyDescent="0.35">
      <c r="B98" s="2">
        <v>194</v>
      </c>
      <c r="C98" s="4">
        <v>0</v>
      </c>
      <c r="D98" s="4">
        <v>0</v>
      </c>
      <c r="E98" s="4">
        <v>0</v>
      </c>
      <c r="F98" s="3">
        <v>1</v>
      </c>
      <c r="G98" s="4">
        <v>0</v>
      </c>
      <c r="H98" s="4">
        <v>0</v>
      </c>
    </row>
    <row r="99" spans="2:8" x14ac:dyDescent="0.35">
      <c r="B99" s="2">
        <v>195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2:8" x14ac:dyDescent="0.35">
      <c r="B100" s="2">
        <v>196</v>
      </c>
      <c r="C100" s="4">
        <v>0</v>
      </c>
      <c r="D100" s="4">
        <v>0</v>
      </c>
      <c r="E100" s="4">
        <v>0</v>
      </c>
      <c r="F100" s="4">
        <v>0</v>
      </c>
      <c r="G100" s="3">
        <v>8</v>
      </c>
      <c r="H100" s="4">
        <v>0</v>
      </c>
    </row>
    <row r="101" spans="2:8" x14ac:dyDescent="0.35">
      <c r="B101" s="2">
        <v>197</v>
      </c>
      <c r="C101" s="4">
        <v>0</v>
      </c>
      <c r="D101" s="4">
        <v>0</v>
      </c>
      <c r="E101" s="3">
        <v>1</v>
      </c>
      <c r="F101" s="4">
        <v>0</v>
      </c>
      <c r="G101" s="4">
        <v>0</v>
      </c>
      <c r="H101" s="4">
        <v>0</v>
      </c>
    </row>
    <row r="102" spans="2:8" x14ac:dyDescent="0.35">
      <c r="B102" s="2">
        <v>198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2:8" x14ac:dyDescent="0.35">
      <c r="B103" s="2">
        <v>199</v>
      </c>
      <c r="C103" s="4">
        <v>0</v>
      </c>
      <c r="D103" s="4">
        <v>0</v>
      </c>
      <c r="E103" s="3">
        <v>1</v>
      </c>
      <c r="F103" s="4">
        <v>0</v>
      </c>
      <c r="G103" s="4">
        <v>0</v>
      </c>
      <c r="H103" s="4">
        <v>0</v>
      </c>
    </row>
    <row r="104" spans="2:8" x14ac:dyDescent="0.35">
      <c r="B104" s="2">
        <v>200</v>
      </c>
      <c r="C104" s="3">
        <v>1</v>
      </c>
      <c r="D104" s="3">
        <v>1</v>
      </c>
      <c r="E104" s="4">
        <v>0</v>
      </c>
      <c r="F104" s="4">
        <v>0</v>
      </c>
      <c r="G104" s="4">
        <v>0</v>
      </c>
      <c r="H104" s="4">
        <v>0</v>
      </c>
    </row>
    <row r="105" spans="2:8" x14ac:dyDescent="0.35">
      <c r="B105" s="2">
        <v>201</v>
      </c>
      <c r="C105" s="4">
        <v>0</v>
      </c>
      <c r="D105" s="4">
        <v>0</v>
      </c>
      <c r="E105" s="4">
        <v>0</v>
      </c>
      <c r="F105" s="3">
        <v>2</v>
      </c>
      <c r="G105" s="4">
        <v>0</v>
      </c>
      <c r="H105" s="4">
        <v>0</v>
      </c>
    </row>
    <row r="106" spans="2:8" x14ac:dyDescent="0.35">
      <c r="B106" s="2">
        <v>202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</row>
    <row r="107" spans="2:8" x14ac:dyDescent="0.35">
      <c r="B107" s="2">
        <v>203</v>
      </c>
      <c r="C107" s="3">
        <v>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</row>
    <row r="108" spans="2:8" x14ac:dyDescent="0.35">
      <c r="B108" s="2">
        <v>204</v>
      </c>
      <c r="C108" s="3">
        <v>1</v>
      </c>
      <c r="D108" s="4">
        <v>0</v>
      </c>
      <c r="E108" s="4">
        <v>0</v>
      </c>
      <c r="F108" s="3">
        <v>1</v>
      </c>
      <c r="G108" s="4">
        <v>0</v>
      </c>
      <c r="H108" s="4">
        <v>0</v>
      </c>
    </row>
    <row r="109" spans="2:8" x14ac:dyDescent="0.35">
      <c r="B109" s="2">
        <v>205</v>
      </c>
      <c r="C109" s="4">
        <v>0</v>
      </c>
      <c r="D109" s="3">
        <v>1</v>
      </c>
      <c r="E109" s="3">
        <v>1</v>
      </c>
      <c r="F109" s="4">
        <v>0</v>
      </c>
      <c r="G109" s="4">
        <v>0</v>
      </c>
      <c r="H109" s="4">
        <v>0</v>
      </c>
    </row>
    <row r="110" spans="2:8" x14ac:dyDescent="0.35">
      <c r="B110" s="2">
        <v>206</v>
      </c>
      <c r="C110" s="3">
        <v>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2:8" x14ac:dyDescent="0.35">
      <c r="B111" s="2">
        <v>207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2:8" x14ac:dyDescent="0.35">
      <c r="B112" s="2">
        <v>208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2:8" x14ac:dyDescent="0.35">
      <c r="B113" s="2">
        <v>209</v>
      </c>
      <c r="C113" s="4">
        <v>0</v>
      </c>
      <c r="D113" s="4">
        <v>0</v>
      </c>
      <c r="E113" s="4">
        <v>0</v>
      </c>
      <c r="F113" s="4">
        <v>0</v>
      </c>
      <c r="G113" s="3">
        <v>10</v>
      </c>
      <c r="H113" s="4">
        <v>0</v>
      </c>
    </row>
    <row r="114" spans="2:8" x14ac:dyDescent="0.35">
      <c r="B114" s="2">
        <v>210</v>
      </c>
      <c r="C114" s="3">
        <v>4</v>
      </c>
      <c r="D114" s="4">
        <v>0</v>
      </c>
      <c r="E114" s="3">
        <v>2</v>
      </c>
      <c r="F114" s="4">
        <v>0</v>
      </c>
      <c r="G114" s="4">
        <v>0</v>
      </c>
      <c r="H114" s="4">
        <v>0</v>
      </c>
    </row>
    <row r="115" spans="2:8" x14ac:dyDescent="0.35">
      <c r="B115" s="2">
        <v>211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2:8" x14ac:dyDescent="0.35">
      <c r="B116" s="2">
        <v>212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2:8" x14ac:dyDescent="0.35">
      <c r="B117" s="2">
        <v>213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2:8" x14ac:dyDescent="0.35">
      <c r="B118" s="2">
        <v>214</v>
      </c>
      <c r="C118" s="4">
        <v>0</v>
      </c>
      <c r="D118" s="3">
        <v>1</v>
      </c>
      <c r="E118" s="4">
        <v>0</v>
      </c>
      <c r="F118" s="4">
        <v>0</v>
      </c>
      <c r="G118" s="4">
        <v>0</v>
      </c>
      <c r="H118" s="4">
        <v>0</v>
      </c>
    </row>
    <row r="119" spans="2:8" x14ac:dyDescent="0.35">
      <c r="B119" s="2">
        <v>215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2:8" x14ac:dyDescent="0.35">
      <c r="B120" s="2">
        <v>216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2:8" x14ac:dyDescent="0.35">
      <c r="B121" s="2">
        <v>217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2:8" x14ac:dyDescent="0.35">
      <c r="B122" s="2">
        <v>218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2:8" x14ac:dyDescent="0.35">
      <c r="B123" s="2">
        <v>219</v>
      </c>
      <c r="C123" s="4">
        <v>0</v>
      </c>
      <c r="D123" s="4">
        <v>0</v>
      </c>
      <c r="E123" s="4">
        <v>0</v>
      </c>
      <c r="F123" s="3">
        <v>3</v>
      </c>
      <c r="G123" s="4">
        <v>0</v>
      </c>
      <c r="H123" s="4">
        <v>0</v>
      </c>
    </row>
    <row r="124" spans="2:8" x14ac:dyDescent="0.35">
      <c r="B124" s="2">
        <v>220</v>
      </c>
      <c r="C124" s="15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2:8" x14ac:dyDescent="0.35">
      <c r="B125" s="2">
        <v>221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</row>
    <row r="126" spans="2:8" x14ac:dyDescent="0.35">
      <c r="B126" s="2">
        <v>222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2:8" x14ac:dyDescent="0.35">
      <c r="B127" s="2">
        <v>223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2:8" x14ac:dyDescent="0.35">
      <c r="B128" s="2">
        <v>224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2:8" x14ac:dyDescent="0.35">
      <c r="B129" s="2">
        <v>225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</row>
    <row r="130" spans="2:8" x14ac:dyDescent="0.35">
      <c r="B130" s="2">
        <v>226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2:8" x14ac:dyDescent="0.35">
      <c r="B131" s="2">
        <v>227</v>
      </c>
      <c r="C131" s="4">
        <v>0</v>
      </c>
      <c r="D131" s="3">
        <v>4</v>
      </c>
      <c r="E131" s="4">
        <v>0</v>
      </c>
      <c r="F131" s="4">
        <v>0</v>
      </c>
      <c r="G131" s="4">
        <v>0</v>
      </c>
      <c r="H131" s="4">
        <v>0</v>
      </c>
    </row>
    <row r="132" spans="2:8" x14ac:dyDescent="0.35">
      <c r="B132" s="2">
        <v>228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2:8" x14ac:dyDescent="0.35">
      <c r="B133" s="2">
        <v>229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</row>
    <row r="134" spans="2:8" x14ac:dyDescent="0.35">
      <c r="B134" s="2">
        <v>230</v>
      </c>
      <c r="C134" s="3">
        <v>2</v>
      </c>
      <c r="D134" s="3">
        <v>1</v>
      </c>
      <c r="E134" s="3">
        <v>2</v>
      </c>
      <c r="F134" s="4">
        <v>0</v>
      </c>
      <c r="G134" s="4">
        <v>0</v>
      </c>
      <c r="H134" s="4">
        <v>0</v>
      </c>
    </row>
    <row r="135" spans="2:8" x14ac:dyDescent="0.35">
      <c r="B135" s="2">
        <v>231</v>
      </c>
      <c r="C135" s="4">
        <v>0</v>
      </c>
      <c r="D135" s="4">
        <v>0</v>
      </c>
      <c r="E135" s="4">
        <v>0</v>
      </c>
      <c r="F135" s="4">
        <v>0</v>
      </c>
      <c r="G135" s="3">
        <v>10</v>
      </c>
      <c r="H135" s="4">
        <v>0</v>
      </c>
    </row>
    <row r="136" spans="2:8" x14ac:dyDescent="0.35">
      <c r="B136" s="2">
        <v>232</v>
      </c>
      <c r="C136" s="3">
        <v>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2:8" x14ac:dyDescent="0.35">
      <c r="B137" s="2">
        <v>233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</row>
    <row r="138" spans="2:8" x14ac:dyDescent="0.35">
      <c r="B138" s="2">
        <v>234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</row>
    <row r="139" spans="2:8" x14ac:dyDescent="0.35">
      <c r="B139" s="2">
        <v>235</v>
      </c>
      <c r="C139" s="3">
        <v>1</v>
      </c>
      <c r="D139" s="4">
        <v>0</v>
      </c>
      <c r="E139" s="3">
        <v>1</v>
      </c>
      <c r="F139" s="4">
        <v>0</v>
      </c>
      <c r="G139" s="4">
        <v>0</v>
      </c>
      <c r="H139" s="4">
        <v>0</v>
      </c>
    </row>
    <row r="140" spans="2:8" x14ac:dyDescent="0.35">
      <c r="B140" s="2">
        <v>236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</row>
    <row r="141" spans="2:8" x14ac:dyDescent="0.35">
      <c r="B141" s="2">
        <v>237</v>
      </c>
      <c r="C141" s="4">
        <v>0</v>
      </c>
      <c r="D141" s="4">
        <v>0</v>
      </c>
      <c r="E141" s="3">
        <v>1</v>
      </c>
      <c r="F141" s="4">
        <v>0</v>
      </c>
      <c r="G141" s="3">
        <v>4</v>
      </c>
      <c r="H141" s="4">
        <v>0</v>
      </c>
    </row>
    <row r="142" spans="2:8" x14ac:dyDescent="0.35">
      <c r="B142" s="2">
        <v>238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</row>
    <row r="143" spans="2:8" x14ac:dyDescent="0.35">
      <c r="B143" s="2">
        <v>239</v>
      </c>
      <c r="C143" s="3">
        <v>1</v>
      </c>
      <c r="D143" s="4">
        <v>0</v>
      </c>
      <c r="E143" s="4">
        <v>0</v>
      </c>
      <c r="F143" s="3">
        <v>1</v>
      </c>
      <c r="G143" s="4">
        <v>0</v>
      </c>
      <c r="H143" s="4">
        <v>0</v>
      </c>
    </row>
    <row r="144" spans="2:8" x14ac:dyDescent="0.35">
      <c r="B144" s="2">
        <v>240</v>
      </c>
      <c r="C144" s="3">
        <v>1</v>
      </c>
      <c r="D144" s="4">
        <v>0</v>
      </c>
      <c r="E144" s="3">
        <v>1</v>
      </c>
      <c r="F144" s="4">
        <v>0</v>
      </c>
      <c r="G144" s="4">
        <v>0</v>
      </c>
      <c r="H144" s="4">
        <v>0</v>
      </c>
    </row>
    <row r="145" spans="2:8" x14ac:dyDescent="0.35">
      <c r="B145" s="2">
        <v>241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</row>
    <row r="146" spans="2:8" x14ac:dyDescent="0.35">
      <c r="B146" s="2">
        <v>242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</row>
    <row r="147" spans="2:8" x14ac:dyDescent="0.35">
      <c r="B147" s="2">
        <v>243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</row>
    <row r="148" spans="2:8" x14ac:dyDescent="0.35">
      <c r="B148" s="2">
        <v>244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</row>
    <row r="149" spans="2:8" x14ac:dyDescent="0.35">
      <c r="B149" s="2">
        <v>245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</row>
    <row r="150" spans="2:8" x14ac:dyDescent="0.35">
      <c r="B150" s="2">
        <v>246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</row>
    <row r="151" spans="2:8" x14ac:dyDescent="0.35">
      <c r="B151" s="2">
        <v>247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</row>
    <row r="152" spans="2:8" x14ac:dyDescent="0.35">
      <c r="B152" s="2">
        <v>248</v>
      </c>
      <c r="C152" s="4">
        <v>0</v>
      </c>
      <c r="D152" s="4">
        <v>0</v>
      </c>
      <c r="E152" s="4">
        <v>0</v>
      </c>
      <c r="F152" s="4">
        <v>0</v>
      </c>
      <c r="G152" s="3">
        <v>4</v>
      </c>
      <c r="H152" s="4">
        <v>0</v>
      </c>
    </row>
    <row r="153" spans="2:8" x14ac:dyDescent="0.35">
      <c r="B153" s="2">
        <v>249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</row>
    <row r="154" spans="2:8" x14ac:dyDescent="0.35">
      <c r="B154" s="2">
        <v>250</v>
      </c>
      <c r="C154" s="4">
        <v>0</v>
      </c>
      <c r="D154" s="4">
        <v>0</v>
      </c>
      <c r="E154" s="3">
        <v>1</v>
      </c>
      <c r="F154" s="4">
        <v>0</v>
      </c>
      <c r="G154" s="4">
        <v>0</v>
      </c>
      <c r="H154" s="4">
        <v>0</v>
      </c>
    </row>
    <row r="155" spans="2:8" x14ac:dyDescent="0.35">
      <c r="B155" s="2">
        <v>251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2:8" x14ac:dyDescent="0.35">
      <c r="B156" s="2">
        <v>252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</row>
    <row r="157" spans="2:8" x14ac:dyDescent="0.35">
      <c r="B157" s="2">
        <v>253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</row>
    <row r="158" spans="2:8" x14ac:dyDescent="0.35">
      <c r="B158" s="2">
        <v>254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</row>
    <row r="159" spans="2:8" x14ac:dyDescent="0.35">
      <c r="B159" s="2">
        <v>255</v>
      </c>
      <c r="C159" s="4">
        <v>0</v>
      </c>
      <c r="D159" s="4">
        <v>0</v>
      </c>
      <c r="E159" s="4">
        <v>0</v>
      </c>
      <c r="F159" s="4">
        <v>0</v>
      </c>
      <c r="G159" s="3">
        <v>4</v>
      </c>
      <c r="H159" s="4">
        <v>0</v>
      </c>
    </row>
    <row r="160" spans="2:8" x14ac:dyDescent="0.35">
      <c r="B160" s="2">
        <v>256</v>
      </c>
      <c r="C160" s="4">
        <v>0</v>
      </c>
      <c r="D160" s="3">
        <v>3</v>
      </c>
      <c r="E160" s="4">
        <v>0</v>
      </c>
      <c r="F160" s="4">
        <v>0</v>
      </c>
      <c r="G160" s="4">
        <v>0</v>
      </c>
      <c r="H160" s="4">
        <v>0</v>
      </c>
    </row>
    <row r="161" spans="2:8" x14ac:dyDescent="0.35">
      <c r="B161" s="2">
        <v>257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</row>
    <row r="162" spans="2:8" x14ac:dyDescent="0.35">
      <c r="B162" s="2">
        <v>258</v>
      </c>
      <c r="C162" s="3">
        <v>2</v>
      </c>
      <c r="D162" s="4">
        <v>0</v>
      </c>
      <c r="E162" s="4">
        <v>0</v>
      </c>
      <c r="F162" s="4">
        <v>0</v>
      </c>
      <c r="G162" s="3">
        <v>5</v>
      </c>
      <c r="H162" s="4">
        <v>0</v>
      </c>
    </row>
    <row r="163" spans="2:8" x14ac:dyDescent="0.35">
      <c r="B163" s="2">
        <v>259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</row>
    <row r="164" spans="2:8" x14ac:dyDescent="0.35">
      <c r="B164" s="2">
        <v>260</v>
      </c>
      <c r="C164" s="3">
        <v>2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</row>
    <row r="165" spans="2:8" x14ac:dyDescent="0.35">
      <c r="B165" s="2">
        <v>261</v>
      </c>
      <c r="C165" s="3">
        <v>2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</row>
    <row r="166" spans="2:8" x14ac:dyDescent="0.35">
      <c r="B166" s="2">
        <v>262</v>
      </c>
      <c r="C166" s="4">
        <v>0</v>
      </c>
      <c r="D166" s="4">
        <v>0</v>
      </c>
      <c r="E166" s="3">
        <v>1</v>
      </c>
      <c r="F166" s="4">
        <v>0</v>
      </c>
      <c r="G166" s="3">
        <v>5</v>
      </c>
      <c r="H166" s="4">
        <v>0</v>
      </c>
    </row>
    <row r="167" spans="2:8" x14ac:dyDescent="0.35">
      <c r="B167" s="2">
        <v>263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</row>
    <row r="168" spans="2:8" x14ac:dyDescent="0.35">
      <c r="B168" s="2">
        <v>264</v>
      </c>
      <c r="C168" s="4">
        <v>0</v>
      </c>
      <c r="D168" s="3">
        <v>1</v>
      </c>
      <c r="E168" s="4">
        <v>0</v>
      </c>
      <c r="F168" s="4">
        <v>0</v>
      </c>
      <c r="G168" s="4">
        <v>0</v>
      </c>
      <c r="H168" s="4">
        <v>0</v>
      </c>
    </row>
    <row r="169" spans="2:8" x14ac:dyDescent="0.35">
      <c r="B169" s="2">
        <v>265</v>
      </c>
      <c r="C169" s="3">
        <v>1</v>
      </c>
      <c r="D169" s="3">
        <v>1</v>
      </c>
      <c r="E169" s="4">
        <v>0</v>
      </c>
      <c r="F169" s="3">
        <v>1</v>
      </c>
      <c r="G169" s="4">
        <v>0</v>
      </c>
      <c r="H169" s="4">
        <v>0</v>
      </c>
    </row>
    <row r="170" spans="2:8" x14ac:dyDescent="0.35">
      <c r="B170" s="2">
        <v>266</v>
      </c>
      <c r="C170" s="4">
        <v>0</v>
      </c>
      <c r="D170" s="4">
        <v>0</v>
      </c>
      <c r="E170" s="3">
        <v>2</v>
      </c>
      <c r="F170" s="4">
        <v>0</v>
      </c>
      <c r="G170" s="4">
        <v>0</v>
      </c>
      <c r="H170" s="4">
        <v>0</v>
      </c>
    </row>
    <row r="171" spans="2:8" x14ac:dyDescent="0.35">
      <c r="B171" s="2">
        <v>267</v>
      </c>
      <c r="C171" s="3">
        <v>3</v>
      </c>
      <c r="D171" s="4">
        <v>0</v>
      </c>
      <c r="E171" s="4">
        <v>0</v>
      </c>
      <c r="F171" s="4">
        <v>0</v>
      </c>
      <c r="G171" s="3">
        <v>10</v>
      </c>
      <c r="H171" s="4">
        <v>0</v>
      </c>
    </row>
    <row r="172" spans="2:8" x14ac:dyDescent="0.35">
      <c r="B172" s="2">
        <v>268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</row>
    <row r="173" spans="2:8" x14ac:dyDescent="0.35">
      <c r="B173" s="2">
        <v>269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</row>
    <row r="174" spans="2:8" x14ac:dyDescent="0.35">
      <c r="B174" s="2">
        <v>270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</row>
    <row r="175" spans="2:8" x14ac:dyDescent="0.35">
      <c r="B175" s="2">
        <v>271</v>
      </c>
      <c r="C175" s="4">
        <v>0</v>
      </c>
      <c r="D175" s="4">
        <v>0</v>
      </c>
      <c r="E175" s="4">
        <v>0</v>
      </c>
      <c r="F175" s="4">
        <v>0</v>
      </c>
      <c r="G175" s="3">
        <v>10</v>
      </c>
      <c r="H175" s="4">
        <v>0</v>
      </c>
    </row>
    <row r="176" spans="2:8" x14ac:dyDescent="0.35">
      <c r="B176" s="2">
        <v>272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</row>
    <row r="177" spans="2:8" x14ac:dyDescent="0.35">
      <c r="B177" s="2">
        <v>273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2:8" x14ac:dyDescent="0.35">
      <c r="B178" s="2">
        <v>274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</row>
    <row r="179" spans="2:8" x14ac:dyDescent="0.35">
      <c r="B179" s="2">
        <v>275</v>
      </c>
      <c r="C179" s="5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2:8" x14ac:dyDescent="0.35">
      <c r="B180" s="2">
        <v>276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2:8" x14ac:dyDescent="0.35">
      <c r="B181" s="2">
        <v>277</v>
      </c>
      <c r="C181" s="4"/>
      <c r="D181" s="4"/>
      <c r="E181" s="4"/>
      <c r="F181" s="4"/>
      <c r="G181" s="4"/>
      <c r="H181" s="4"/>
    </row>
    <row r="182" spans="2:8" x14ac:dyDescent="0.35">
      <c r="B182" s="2">
        <v>278</v>
      </c>
      <c r="C182" s="4"/>
      <c r="D182" s="4"/>
      <c r="E182" s="4"/>
      <c r="F182" s="4"/>
      <c r="G182" s="4"/>
      <c r="H182" s="4"/>
    </row>
    <row r="183" spans="2:8" x14ac:dyDescent="0.35">
      <c r="B183" s="2">
        <v>279</v>
      </c>
      <c r="C183" s="4"/>
      <c r="D183" s="4"/>
      <c r="E183" s="4"/>
      <c r="F183" s="4"/>
      <c r="G183" s="4"/>
      <c r="H183" s="4"/>
    </row>
    <row r="184" spans="2:8" x14ac:dyDescent="0.35">
      <c r="B184" s="2">
        <v>280</v>
      </c>
      <c r="C184" s="4"/>
      <c r="D184" s="4"/>
      <c r="E184" s="4"/>
      <c r="F184" s="4"/>
      <c r="G184" s="4"/>
      <c r="H184" s="4"/>
    </row>
    <row r="185" spans="2:8" x14ac:dyDescent="0.35">
      <c r="B185" s="2">
        <v>281</v>
      </c>
      <c r="C185" s="4"/>
      <c r="D185" s="4"/>
      <c r="E185" s="4"/>
      <c r="F185" s="4"/>
      <c r="G185" s="4"/>
      <c r="H185" s="4"/>
    </row>
    <row r="186" spans="2:8" x14ac:dyDescent="0.35">
      <c r="B186" s="2">
        <v>282</v>
      </c>
      <c r="C186" s="4"/>
      <c r="D186" s="4"/>
      <c r="E186" s="4"/>
      <c r="F186" s="4"/>
      <c r="G186" s="4"/>
      <c r="H186" s="4"/>
    </row>
    <row r="187" spans="2:8" x14ac:dyDescent="0.35">
      <c r="B187" s="2">
        <v>283</v>
      </c>
      <c r="C187" s="4"/>
      <c r="D187" s="4"/>
      <c r="E187" s="4"/>
      <c r="F187" s="4"/>
      <c r="G187" s="4"/>
      <c r="H187" s="4"/>
    </row>
    <row r="188" spans="2:8" x14ac:dyDescent="0.35">
      <c r="B188" s="2">
        <v>284</v>
      </c>
      <c r="C188" s="4"/>
      <c r="D188" s="4"/>
      <c r="E188" s="4"/>
      <c r="F188" s="4"/>
      <c r="G188" s="4"/>
      <c r="H188" s="4"/>
    </row>
    <row r="189" spans="2:8" x14ac:dyDescent="0.35">
      <c r="B189" s="2">
        <v>285</v>
      </c>
      <c r="C189" s="4"/>
      <c r="D189" s="4"/>
      <c r="E189" s="4"/>
      <c r="F189" s="4"/>
      <c r="G189" s="4"/>
      <c r="H189" s="4"/>
    </row>
    <row r="190" spans="2:8" x14ac:dyDescent="0.35">
      <c r="B190" s="2">
        <v>286</v>
      </c>
      <c r="C190" s="4"/>
      <c r="D190" s="4"/>
      <c r="E190" s="4"/>
      <c r="F190" s="4"/>
      <c r="G190" s="4"/>
      <c r="H190" s="4"/>
    </row>
    <row r="191" spans="2:8" x14ac:dyDescent="0.35">
      <c r="B191" s="2">
        <v>287</v>
      </c>
      <c r="C191" s="4"/>
      <c r="D191" s="4"/>
      <c r="E191" s="4"/>
      <c r="F191" s="4"/>
      <c r="G191" s="4"/>
      <c r="H191" s="4"/>
    </row>
    <row r="192" spans="2:8" x14ac:dyDescent="0.35">
      <c r="B192" s="2">
        <v>288</v>
      </c>
      <c r="C192" s="4"/>
      <c r="D192" s="4"/>
      <c r="E192" s="4"/>
      <c r="F192" s="4"/>
      <c r="G192" s="4"/>
      <c r="H192" s="4"/>
    </row>
    <row r="193" spans="1:8" x14ac:dyDescent="0.35">
      <c r="B193" s="2">
        <v>289</v>
      </c>
      <c r="C193" s="4"/>
      <c r="D193" s="4"/>
      <c r="E193" s="4"/>
      <c r="F193" s="4"/>
      <c r="G193" s="4"/>
      <c r="H193" s="4"/>
    </row>
    <row r="194" spans="1:8" x14ac:dyDescent="0.35">
      <c r="B194" s="2">
        <v>290</v>
      </c>
      <c r="C194" s="4"/>
      <c r="D194" s="4"/>
      <c r="E194" s="4"/>
      <c r="F194" s="4"/>
      <c r="G194" s="4"/>
      <c r="H194" s="4"/>
    </row>
    <row r="195" spans="1:8" x14ac:dyDescent="0.35">
      <c r="B195" s="2">
        <v>291</v>
      </c>
      <c r="C195" s="4"/>
      <c r="D195" s="4"/>
      <c r="E195" s="4"/>
      <c r="F195" s="4"/>
      <c r="G195" s="4"/>
      <c r="H195" s="4"/>
    </row>
    <row r="196" spans="1:8" x14ac:dyDescent="0.35">
      <c r="B196" s="2">
        <v>292</v>
      </c>
      <c r="C196" s="4"/>
      <c r="D196" s="4"/>
      <c r="E196" s="4"/>
      <c r="F196" s="4"/>
      <c r="G196" s="4"/>
      <c r="H196" s="4"/>
    </row>
    <row r="197" spans="1:8" x14ac:dyDescent="0.35">
      <c r="B197" s="2">
        <v>293</v>
      </c>
      <c r="C197" s="4"/>
      <c r="D197" s="4"/>
      <c r="E197" s="4"/>
      <c r="F197" s="4"/>
      <c r="G197" s="4"/>
      <c r="H197" s="4"/>
    </row>
    <row r="198" spans="1:8" x14ac:dyDescent="0.35">
      <c r="B198" s="2">
        <v>294</v>
      </c>
      <c r="C198" s="4"/>
      <c r="D198" s="4"/>
      <c r="E198" s="4"/>
      <c r="F198" s="4"/>
      <c r="G198" s="4"/>
      <c r="H198" s="4"/>
    </row>
    <row r="199" spans="1:8" x14ac:dyDescent="0.35">
      <c r="B199" s="2">
        <v>295</v>
      </c>
      <c r="C199" s="2"/>
      <c r="D199" s="2"/>
      <c r="E199" s="2"/>
      <c r="F199" s="2"/>
      <c r="G199" s="2"/>
      <c r="H199" s="2"/>
    </row>
    <row r="200" spans="1:8" x14ac:dyDescent="0.35">
      <c r="B200" s="2">
        <v>296</v>
      </c>
      <c r="C200" s="2"/>
      <c r="D200" s="2"/>
      <c r="E200" s="2"/>
      <c r="F200" s="2"/>
      <c r="G200" s="2"/>
      <c r="H200" s="2"/>
    </row>
    <row r="201" spans="1:8" x14ac:dyDescent="0.35">
      <c r="B201" s="2">
        <v>297</v>
      </c>
      <c r="C201" s="2"/>
      <c r="D201" s="2"/>
      <c r="E201" s="2"/>
      <c r="F201" s="2"/>
      <c r="G201" s="2"/>
      <c r="H201" s="2"/>
    </row>
    <row r="202" spans="1:8" ht="15" thickBot="1" x14ac:dyDescent="0.4">
      <c r="B202" s="2">
        <v>298</v>
      </c>
      <c r="C202" s="2"/>
      <c r="D202" s="2"/>
      <c r="E202" s="2"/>
      <c r="F202" s="2"/>
      <c r="G202" s="2"/>
      <c r="H202" s="2"/>
    </row>
    <row r="203" spans="1:8" ht="15" thickBot="1" x14ac:dyDescent="0.4">
      <c r="A203" s="17" t="s">
        <v>1</v>
      </c>
      <c r="B203" s="18"/>
      <c r="C203" s="9">
        <f t="shared" ref="C203:H203" si="0">SUM(C4:C202)</f>
        <v>67</v>
      </c>
      <c r="D203" s="9">
        <f t="shared" si="0"/>
        <v>55</v>
      </c>
      <c r="E203" s="9">
        <f t="shared" si="0"/>
        <v>23</v>
      </c>
      <c r="F203" s="9">
        <f t="shared" si="0"/>
        <v>20</v>
      </c>
      <c r="G203" s="9">
        <f t="shared" si="0"/>
        <v>220</v>
      </c>
      <c r="H203" s="10">
        <f t="shared" si="0"/>
        <v>2</v>
      </c>
    </row>
    <row r="204" spans="1:8" x14ac:dyDescent="0.35">
      <c r="A204" t="s">
        <v>29</v>
      </c>
      <c r="B204">
        <v>1</v>
      </c>
      <c r="C204">
        <f t="shared" ref="C204:C228" si="1">COUNTIF($C$4:$C$202, $B204)</f>
        <v>15</v>
      </c>
      <c r="D204">
        <f t="shared" ref="D204:D225" si="2">COUNTIF($D$4:$D$202, $B204)</f>
        <v>10</v>
      </c>
      <c r="E204">
        <f t="shared" ref="E204:E218" si="3">COUNTIF($E$4:$E$202, $B204)</f>
        <v>12</v>
      </c>
      <c r="F204">
        <f t="shared" ref="F204:F218" si="4">COUNTIF($F$4:$F$202, $B204)</f>
        <v>7</v>
      </c>
      <c r="G204">
        <f t="shared" ref="G204:G228" si="5">COUNTIF($G$4:$G$202, $B204)</f>
        <v>0</v>
      </c>
      <c r="H204">
        <f t="shared" ref="H204:H228" si="6">COUNTIF($H$4:$H$202, $B204)</f>
        <v>0</v>
      </c>
    </row>
    <row r="205" spans="1:8" x14ac:dyDescent="0.35">
      <c r="A205" t="s">
        <v>29</v>
      </c>
      <c r="B205">
        <v>2</v>
      </c>
      <c r="C205">
        <f t="shared" si="1"/>
        <v>11</v>
      </c>
      <c r="D205">
        <f t="shared" si="2"/>
        <v>4</v>
      </c>
      <c r="E205">
        <f t="shared" si="3"/>
        <v>4</v>
      </c>
      <c r="F205">
        <f t="shared" si="4"/>
        <v>3</v>
      </c>
      <c r="G205">
        <f t="shared" si="5"/>
        <v>2</v>
      </c>
      <c r="H205">
        <f t="shared" si="6"/>
        <v>1</v>
      </c>
    </row>
    <row r="206" spans="1:8" x14ac:dyDescent="0.35">
      <c r="A206" t="s">
        <v>29</v>
      </c>
      <c r="B206">
        <v>3</v>
      </c>
      <c r="C206">
        <f t="shared" si="1"/>
        <v>3</v>
      </c>
      <c r="D206">
        <f t="shared" si="2"/>
        <v>3</v>
      </c>
      <c r="E206">
        <f t="shared" si="3"/>
        <v>1</v>
      </c>
      <c r="F206">
        <f t="shared" si="4"/>
        <v>1</v>
      </c>
      <c r="G206">
        <f t="shared" si="5"/>
        <v>1</v>
      </c>
      <c r="H206">
        <f t="shared" si="6"/>
        <v>0</v>
      </c>
    </row>
    <row r="207" spans="1:8" x14ac:dyDescent="0.35">
      <c r="A207" t="s">
        <v>29</v>
      </c>
      <c r="B207">
        <v>4</v>
      </c>
      <c r="C207">
        <f t="shared" si="1"/>
        <v>4</v>
      </c>
      <c r="D207">
        <f t="shared" si="2"/>
        <v>2</v>
      </c>
      <c r="E207">
        <f t="shared" si="3"/>
        <v>0</v>
      </c>
      <c r="F207">
        <f t="shared" si="4"/>
        <v>1</v>
      </c>
      <c r="G207">
        <f t="shared" si="5"/>
        <v>5</v>
      </c>
      <c r="H207">
        <f t="shared" si="6"/>
        <v>0</v>
      </c>
    </row>
    <row r="208" spans="1:8" x14ac:dyDescent="0.35">
      <c r="A208" t="s">
        <v>29</v>
      </c>
      <c r="B208">
        <v>5</v>
      </c>
      <c r="C208">
        <f t="shared" si="1"/>
        <v>1</v>
      </c>
      <c r="D208">
        <f t="shared" si="2"/>
        <v>0</v>
      </c>
      <c r="E208">
        <f t="shared" si="3"/>
        <v>0</v>
      </c>
      <c r="F208">
        <f t="shared" si="4"/>
        <v>0</v>
      </c>
      <c r="G208">
        <f t="shared" si="5"/>
        <v>2</v>
      </c>
      <c r="H208">
        <f t="shared" si="6"/>
        <v>0</v>
      </c>
    </row>
    <row r="209" spans="1:8" x14ac:dyDescent="0.35">
      <c r="A209" t="s">
        <v>29</v>
      </c>
      <c r="B209">
        <v>6</v>
      </c>
      <c r="C209">
        <f t="shared" si="1"/>
        <v>0</v>
      </c>
      <c r="D209">
        <f t="shared" si="2"/>
        <v>2</v>
      </c>
      <c r="E209">
        <f t="shared" si="3"/>
        <v>0</v>
      </c>
      <c r="F209">
        <f t="shared" si="4"/>
        <v>0</v>
      </c>
      <c r="G209">
        <f t="shared" si="5"/>
        <v>4</v>
      </c>
      <c r="H209">
        <f t="shared" si="6"/>
        <v>0</v>
      </c>
    </row>
    <row r="210" spans="1:8" x14ac:dyDescent="0.35">
      <c r="A210" t="s">
        <v>29</v>
      </c>
      <c r="B210">
        <v>7</v>
      </c>
      <c r="C210">
        <f t="shared" si="1"/>
        <v>0</v>
      </c>
      <c r="D210">
        <f t="shared" si="2"/>
        <v>0</v>
      </c>
      <c r="E210">
        <f t="shared" si="3"/>
        <v>0</v>
      </c>
      <c r="F210">
        <f t="shared" si="4"/>
        <v>0</v>
      </c>
      <c r="G210">
        <f t="shared" si="5"/>
        <v>2</v>
      </c>
      <c r="H210">
        <f t="shared" si="6"/>
        <v>0</v>
      </c>
    </row>
    <row r="211" spans="1:8" x14ac:dyDescent="0.35">
      <c r="A211" t="s">
        <v>29</v>
      </c>
      <c r="B211">
        <v>8</v>
      </c>
      <c r="C211">
        <f t="shared" si="1"/>
        <v>0</v>
      </c>
      <c r="D211">
        <f t="shared" si="2"/>
        <v>1</v>
      </c>
      <c r="E211">
        <f t="shared" si="3"/>
        <v>0</v>
      </c>
      <c r="F211">
        <f t="shared" si="4"/>
        <v>0</v>
      </c>
      <c r="G211">
        <f t="shared" si="5"/>
        <v>4</v>
      </c>
      <c r="H211">
        <f t="shared" si="6"/>
        <v>0</v>
      </c>
    </row>
    <row r="212" spans="1:8" x14ac:dyDescent="0.35">
      <c r="A212" t="s">
        <v>29</v>
      </c>
      <c r="B212">
        <v>9</v>
      </c>
      <c r="C212">
        <f t="shared" si="1"/>
        <v>0</v>
      </c>
      <c r="D212">
        <f t="shared" si="2"/>
        <v>0</v>
      </c>
      <c r="E212">
        <f t="shared" si="3"/>
        <v>0</v>
      </c>
      <c r="F212">
        <f t="shared" si="4"/>
        <v>0</v>
      </c>
      <c r="G212">
        <f t="shared" si="5"/>
        <v>0</v>
      </c>
      <c r="H212">
        <f t="shared" si="6"/>
        <v>0</v>
      </c>
    </row>
    <row r="213" spans="1:8" x14ac:dyDescent="0.35">
      <c r="A213" t="s">
        <v>29</v>
      </c>
      <c r="B213">
        <v>10</v>
      </c>
      <c r="C213">
        <f t="shared" si="1"/>
        <v>0</v>
      </c>
      <c r="D213">
        <f t="shared" si="2"/>
        <v>0</v>
      </c>
      <c r="E213">
        <f t="shared" si="3"/>
        <v>0</v>
      </c>
      <c r="F213">
        <f t="shared" si="4"/>
        <v>0</v>
      </c>
      <c r="G213">
        <f t="shared" si="5"/>
        <v>4</v>
      </c>
      <c r="H213">
        <f t="shared" si="6"/>
        <v>0</v>
      </c>
    </row>
    <row r="214" spans="1:8" x14ac:dyDescent="0.35">
      <c r="A214" t="s">
        <v>29</v>
      </c>
      <c r="B214">
        <v>11</v>
      </c>
      <c r="C214">
        <f t="shared" si="1"/>
        <v>0</v>
      </c>
      <c r="D214">
        <f t="shared" si="2"/>
        <v>0</v>
      </c>
      <c r="E214">
        <f t="shared" si="3"/>
        <v>0</v>
      </c>
      <c r="F214">
        <f t="shared" si="4"/>
        <v>0</v>
      </c>
      <c r="G214">
        <f t="shared" si="5"/>
        <v>0</v>
      </c>
      <c r="H214">
        <f t="shared" si="6"/>
        <v>0</v>
      </c>
    </row>
    <row r="215" spans="1:8" x14ac:dyDescent="0.35">
      <c r="A215" t="s">
        <v>29</v>
      </c>
      <c r="B215">
        <v>12</v>
      </c>
      <c r="C215">
        <f t="shared" si="1"/>
        <v>0</v>
      </c>
      <c r="D215">
        <f t="shared" si="2"/>
        <v>0</v>
      </c>
      <c r="E215">
        <f t="shared" si="3"/>
        <v>0</v>
      </c>
      <c r="F215">
        <f t="shared" si="4"/>
        <v>0</v>
      </c>
      <c r="G215">
        <f t="shared" si="5"/>
        <v>4</v>
      </c>
      <c r="H215">
        <f t="shared" si="6"/>
        <v>0</v>
      </c>
    </row>
    <row r="216" spans="1:8" x14ac:dyDescent="0.35">
      <c r="A216" t="s">
        <v>29</v>
      </c>
      <c r="B216">
        <v>13</v>
      </c>
      <c r="C216">
        <f t="shared" si="1"/>
        <v>0</v>
      </c>
      <c r="D216">
        <f t="shared" si="2"/>
        <v>0</v>
      </c>
      <c r="E216">
        <f t="shared" si="3"/>
        <v>0</v>
      </c>
      <c r="F216">
        <f t="shared" si="4"/>
        <v>0</v>
      </c>
      <c r="G216">
        <f t="shared" si="5"/>
        <v>0</v>
      </c>
      <c r="H216">
        <f t="shared" si="6"/>
        <v>0</v>
      </c>
    </row>
    <row r="217" spans="1:8" x14ac:dyDescent="0.35">
      <c r="A217" t="s">
        <v>29</v>
      </c>
      <c r="B217">
        <v>14</v>
      </c>
      <c r="C217">
        <f t="shared" si="1"/>
        <v>0</v>
      </c>
      <c r="D217">
        <f t="shared" si="2"/>
        <v>0</v>
      </c>
      <c r="E217">
        <f t="shared" si="3"/>
        <v>0</v>
      </c>
      <c r="F217">
        <f t="shared" si="4"/>
        <v>0</v>
      </c>
      <c r="G217">
        <f t="shared" si="5"/>
        <v>0</v>
      </c>
      <c r="H217">
        <f t="shared" si="6"/>
        <v>0</v>
      </c>
    </row>
    <row r="218" spans="1:8" x14ac:dyDescent="0.35">
      <c r="A218" t="s">
        <v>29</v>
      </c>
      <c r="B218">
        <v>15</v>
      </c>
      <c r="C218">
        <f t="shared" si="1"/>
        <v>0</v>
      </c>
      <c r="D218">
        <f t="shared" si="2"/>
        <v>0</v>
      </c>
      <c r="E218">
        <f t="shared" si="3"/>
        <v>0</v>
      </c>
      <c r="F218">
        <f t="shared" si="4"/>
        <v>0</v>
      </c>
      <c r="G218">
        <f t="shared" si="5"/>
        <v>0</v>
      </c>
      <c r="H218">
        <f t="shared" si="6"/>
        <v>0</v>
      </c>
    </row>
    <row r="219" spans="1:8" x14ac:dyDescent="0.35">
      <c r="A219" t="s">
        <v>29</v>
      </c>
      <c r="B219">
        <v>16</v>
      </c>
      <c r="C219">
        <f t="shared" si="1"/>
        <v>0</v>
      </c>
      <c r="D219">
        <f t="shared" si="2"/>
        <v>0</v>
      </c>
      <c r="E219">
        <f t="shared" ref="E219:E228" si="7">COUNTIF($E$4:$E$171, $B219)</f>
        <v>0</v>
      </c>
      <c r="F219">
        <f t="shared" ref="F219:F228" si="8">COUNTIF($F$4:$F$171, $B219)</f>
        <v>0</v>
      </c>
      <c r="G219">
        <f t="shared" si="5"/>
        <v>0</v>
      </c>
      <c r="H219">
        <f t="shared" si="6"/>
        <v>0</v>
      </c>
    </row>
    <row r="220" spans="1:8" x14ac:dyDescent="0.35">
      <c r="A220" t="s">
        <v>29</v>
      </c>
      <c r="B220">
        <v>17</v>
      </c>
      <c r="C220">
        <f t="shared" si="1"/>
        <v>0</v>
      </c>
      <c r="D220">
        <f t="shared" si="2"/>
        <v>0</v>
      </c>
      <c r="E220">
        <f t="shared" si="7"/>
        <v>0</v>
      </c>
      <c r="F220">
        <f t="shared" si="8"/>
        <v>0</v>
      </c>
      <c r="G220">
        <f t="shared" si="5"/>
        <v>0</v>
      </c>
      <c r="H220">
        <f t="shared" si="6"/>
        <v>0</v>
      </c>
    </row>
    <row r="221" spans="1:8" x14ac:dyDescent="0.35">
      <c r="A221" t="s">
        <v>29</v>
      </c>
      <c r="B221">
        <v>18</v>
      </c>
      <c r="C221">
        <f t="shared" si="1"/>
        <v>0</v>
      </c>
      <c r="D221">
        <f t="shared" si="2"/>
        <v>0</v>
      </c>
      <c r="E221">
        <f t="shared" si="7"/>
        <v>0</v>
      </c>
      <c r="F221">
        <f t="shared" si="8"/>
        <v>0</v>
      </c>
      <c r="G221">
        <f t="shared" si="5"/>
        <v>0</v>
      </c>
      <c r="H221">
        <f t="shared" si="6"/>
        <v>0</v>
      </c>
    </row>
    <row r="222" spans="1:8" x14ac:dyDescent="0.35">
      <c r="A222" t="s">
        <v>29</v>
      </c>
      <c r="B222">
        <v>19</v>
      </c>
      <c r="C222">
        <f t="shared" si="1"/>
        <v>0</v>
      </c>
      <c r="D222">
        <f t="shared" si="2"/>
        <v>0</v>
      </c>
      <c r="E222">
        <f t="shared" si="7"/>
        <v>0</v>
      </c>
      <c r="F222">
        <f t="shared" si="8"/>
        <v>0</v>
      </c>
      <c r="G222">
        <f t="shared" si="5"/>
        <v>0</v>
      </c>
      <c r="H222">
        <f t="shared" si="6"/>
        <v>0</v>
      </c>
    </row>
    <row r="223" spans="1:8" x14ac:dyDescent="0.35">
      <c r="A223" t="s">
        <v>29</v>
      </c>
      <c r="B223">
        <v>20</v>
      </c>
      <c r="C223">
        <f t="shared" si="1"/>
        <v>0</v>
      </c>
      <c r="D223">
        <f t="shared" si="2"/>
        <v>0</v>
      </c>
      <c r="E223">
        <f t="shared" si="7"/>
        <v>0</v>
      </c>
      <c r="F223">
        <f t="shared" si="8"/>
        <v>0</v>
      </c>
      <c r="G223">
        <f t="shared" si="5"/>
        <v>0</v>
      </c>
      <c r="H223">
        <f t="shared" si="6"/>
        <v>0</v>
      </c>
    </row>
    <row r="224" spans="1:8" x14ac:dyDescent="0.35">
      <c r="A224" t="s">
        <v>29</v>
      </c>
      <c r="B224">
        <v>21</v>
      </c>
      <c r="C224">
        <f t="shared" si="1"/>
        <v>0</v>
      </c>
      <c r="D224">
        <f t="shared" si="2"/>
        <v>0</v>
      </c>
      <c r="E224">
        <f t="shared" si="7"/>
        <v>0</v>
      </c>
      <c r="F224">
        <f t="shared" si="8"/>
        <v>0</v>
      </c>
      <c r="G224">
        <f t="shared" si="5"/>
        <v>0</v>
      </c>
      <c r="H224">
        <f t="shared" si="6"/>
        <v>0</v>
      </c>
    </row>
    <row r="225" spans="1:8" x14ac:dyDescent="0.35">
      <c r="A225" t="s">
        <v>29</v>
      </c>
      <c r="B225">
        <v>22</v>
      </c>
      <c r="C225">
        <f t="shared" si="1"/>
        <v>0</v>
      </c>
      <c r="D225">
        <f t="shared" si="2"/>
        <v>0</v>
      </c>
      <c r="E225">
        <f t="shared" si="7"/>
        <v>0</v>
      </c>
      <c r="F225">
        <f t="shared" si="8"/>
        <v>0</v>
      </c>
      <c r="G225">
        <f t="shared" si="5"/>
        <v>0</v>
      </c>
      <c r="H225">
        <f t="shared" si="6"/>
        <v>0</v>
      </c>
    </row>
    <row r="226" spans="1:8" x14ac:dyDescent="0.35">
      <c r="A226" t="s">
        <v>29</v>
      </c>
      <c r="B226">
        <v>23</v>
      </c>
      <c r="C226">
        <f t="shared" si="1"/>
        <v>0</v>
      </c>
      <c r="D226">
        <f>COUNTIF($D$4:$D$171, $B226)</f>
        <v>0</v>
      </c>
      <c r="E226">
        <f t="shared" si="7"/>
        <v>0</v>
      </c>
      <c r="F226">
        <f t="shared" si="8"/>
        <v>0</v>
      </c>
      <c r="G226">
        <f t="shared" si="5"/>
        <v>0</v>
      </c>
      <c r="H226">
        <f t="shared" si="6"/>
        <v>0</v>
      </c>
    </row>
    <row r="227" spans="1:8" x14ac:dyDescent="0.35">
      <c r="A227" t="s">
        <v>29</v>
      </c>
      <c r="B227">
        <v>24</v>
      </c>
      <c r="C227">
        <f t="shared" si="1"/>
        <v>0</v>
      </c>
      <c r="D227">
        <f>COUNTIF($D$4:$D$171, $B227)</f>
        <v>0</v>
      </c>
      <c r="E227">
        <f t="shared" si="7"/>
        <v>0</v>
      </c>
      <c r="F227">
        <f t="shared" si="8"/>
        <v>0</v>
      </c>
      <c r="G227">
        <f t="shared" si="5"/>
        <v>0</v>
      </c>
      <c r="H227">
        <f t="shared" si="6"/>
        <v>0</v>
      </c>
    </row>
    <row r="228" spans="1:8" x14ac:dyDescent="0.35">
      <c r="A228" t="s">
        <v>29</v>
      </c>
      <c r="B228">
        <v>25</v>
      </c>
      <c r="C228">
        <f t="shared" si="1"/>
        <v>0</v>
      </c>
      <c r="E228">
        <f t="shared" si="7"/>
        <v>0</v>
      </c>
      <c r="F228">
        <f t="shared" si="8"/>
        <v>0</v>
      </c>
      <c r="G228" s="13">
        <f t="shared" si="5"/>
        <v>1</v>
      </c>
      <c r="H228">
        <f t="shared" si="6"/>
        <v>0</v>
      </c>
    </row>
  </sheetData>
  <mergeCells count="3">
    <mergeCell ref="B2:C2"/>
    <mergeCell ref="A203:B203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7"/>
  <sheetViews>
    <sheetView topLeftCell="A2" zoomScaleNormal="100" workbookViewId="0">
      <pane ySplit="2" topLeftCell="A201" activePane="bottomLeft" state="frozen"/>
      <selection activeCell="A2" sqref="A2"/>
      <selection pane="bottomLeft" activeCell="C179" sqref="C179"/>
    </sheetView>
  </sheetViews>
  <sheetFormatPr defaultRowHeight="14.5" x14ac:dyDescent="0.35"/>
  <cols>
    <col min="3" max="3" width="12.7265625" customWidth="1"/>
    <col min="4" max="4" width="13.81640625" customWidth="1"/>
    <col min="5" max="5" width="16.54296875" customWidth="1"/>
    <col min="6" max="6" width="12.453125" bestFit="1" customWidth="1"/>
    <col min="7" max="7" width="11" customWidth="1"/>
    <col min="8" max="8" width="13.54296875" customWidth="1"/>
  </cols>
  <sheetData>
    <row r="1" spans="1:8" x14ac:dyDescent="0.35">
      <c r="A1" s="16" t="s">
        <v>19</v>
      </c>
      <c r="B1" s="16"/>
      <c r="C1" s="16"/>
    </row>
    <row r="2" spans="1:8" x14ac:dyDescent="0.35">
      <c r="B2" s="16" t="s">
        <v>49</v>
      </c>
      <c r="C2" s="16"/>
    </row>
    <row r="3" spans="1:8" ht="43.5" x14ac:dyDescent="0.35">
      <c r="B3" t="s">
        <v>0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82</v>
      </c>
      <c r="H3" s="1" t="s">
        <v>82</v>
      </c>
    </row>
    <row r="4" spans="1:8" x14ac:dyDescent="0.35">
      <c r="B4" s="2">
        <v>100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35">
      <c r="B5" s="2">
        <v>101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35">
      <c r="B6" s="2">
        <v>102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 x14ac:dyDescent="0.35">
      <c r="B7" s="2">
        <v>103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35">
      <c r="B8" s="2">
        <v>104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35">
      <c r="B9" s="2">
        <v>105</v>
      </c>
      <c r="C9" s="4">
        <v>0</v>
      </c>
      <c r="D9" s="3">
        <v>4</v>
      </c>
      <c r="E9" s="4">
        <v>0</v>
      </c>
      <c r="F9" s="4">
        <v>0</v>
      </c>
      <c r="G9" s="4">
        <v>0</v>
      </c>
      <c r="H9" s="4">
        <v>0</v>
      </c>
    </row>
    <row r="10" spans="1:8" x14ac:dyDescent="0.35">
      <c r="B10" s="2">
        <v>106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35">
      <c r="B11" s="2">
        <v>107</v>
      </c>
      <c r="C11" s="4">
        <v>0</v>
      </c>
      <c r="D11" s="3">
        <v>4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35">
      <c r="B12" s="2">
        <v>108</v>
      </c>
      <c r="C12" s="3">
        <v>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5">
      <c r="B13" s="2">
        <v>109</v>
      </c>
      <c r="C13" s="4">
        <v>0</v>
      </c>
      <c r="D13" s="3">
        <v>2</v>
      </c>
      <c r="E13" s="3">
        <v>2</v>
      </c>
      <c r="F13" s="4">
        <v>0</v>
      </c>
      <c r="G13" s="4">
        <v>0</v>
      </c>
      <c r="H13" s="4">
        <v>0</v>
      </c>
    </row>
    <row r="14" spans="1:8" x14ac:dyDescent="0.35">
      <c r="B14" s="2">
        <v>110</v>
      </c>
      <c r="C14" s="4">
        <v>0</v>
      </c>
      <c r="D14" s="4">
        <v>0</v>
      </c>
      <c r="E14" s="4">
        <v>0</v>
      </c>
      <c r="F14" s="3">
        <v>2</v>
      </c>
      <c r="G14" s="4">
        <v>0</v>
      </c>
      <c r="H14" s="4">
        <v>0</v>
      </c>
    </row>
    <row r="15" spans="1:8" x14ac:dyDescent="0.35">
      <c r="B15" s="2">
        <v>111</v>
      </c>
      <c r="C15" s="4">
        <v>0</v>
      </c>
      <c r="D15" s="3">
        <v>4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35">
      <c r="B16" s="2">
        <v>112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2:8" x14ac:dyDescent="0.35">
      <c r="B17" s="2">
        <v>113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2:8" x14ac:dyDescent="0.35">
      <c r="B18" s="2">
        <v>114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2:8" x14ac:dyDescent="0.35">
      <c r="B19" s="2">
        <v>115</v>
      </c>
      <c r="C19" s="4">
        <v>0</v>
      </c>
      <c r="D19" s="4">
        <v>0</v>
      </c>
      <c r="E19" s="4">
        <v>0</v>
      </c>
      <c r="F19" s="3">
        <v>8</v>
      </c>
      <c r="G19" s="4">
        <v>0</v>
      </c>
      <c r="H19" s="4">
        <v>0</v>
      </c>
    </row>
    <row r="20" spans="2:8" x14ac:dyDescent="0.35">
      <c r="B20" s="2">
        <v>116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2:8" x14ac:dyDescent="0.35">
      <c r="B21" s="2">
        <v>117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2:8" x14ac:dyDescent="0.35">
      <c r="B22" s="2">
        <v>118</v>
      </c>
      <c r="C22" s="3">
        <v>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2:8" x14ac:dyDescent="0.35">
      <c r="B23" s="2">
        <v>119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2:8" x14ac:dyDescent="0.35">
      <c r="B24" s="2">
        <v>120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2:8" x14ac:dyDescent="0.35">
      <c r="B25" s="2">
        <v>121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2:8" x14ac:dyDescent="0.35">
      <c r="B26" s="2">
        <v>122</v>
      </c>
      <c r="C26" s="3">
        <v>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2:8" x14ac:dyDescent="0.35">
      <c r="B27" s="2">
        <v>123</v>
      </c>
      <c r="C27" s="4">
        <v>0</v>
      </c>
      <c r="D27" s="4">
        <v>0</v>
      </c>
      <c r="E27" s="4">
        <v>0</v>
      </c>
      <c r="F27" s="3">
        <v>5</v>
      </c>
      <c r="G27" s="4">
        <v>0</v>
      </c>
      <c r="H27" s="4">
        <v>0</v>
      </c>
    </row>
    <row r="28" spans="2:8" x14ac:dyDescent="0.35">
      <c r="B28" s="2">
        <v>124</v>
      </c>
      <c r="C28" s="4">
        <v>0</v>
      </c>
      <c r="D28" s="4">
        <v>0</v>
      </c>
      <c r="E28" s="4">
        <v>0</v>
      </c>
      <c r="F28" s="3">
        <v>9</v>
      </c>
      <c r="G28" s="4">
        <v>0</v>
      </c>
      <c r="H28" s="4">
        <v>0</v>
      </c>
    </row>
    <row r="29" spans="2:8" x14ac:dyDescent="0.35">
      <c r="B29" s="2">
        <v>125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2:8" x14ac:dyDescent="0.35">
      <c r="B30" s="2">
        <v>126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2:8" x14ac:dyDescent="0.35">
      <c r="B31" s="2">
        <v>127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2:8" x14ac:dyDescent="0.35">
      <c r="B32" s="2">
        <v>128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2:8" x14ac:dyDescent="0.35">
      <c r="B33" s="2">
        <v>129</v>
      </c>
      <c r="C33" s="3">
        <v>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2:8" x14ac:dyDescent="0.35">
      <c r="B34" s="2">
        <v>130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2:8" x14ac:dyDescent="0.35">
      <c r="B35" s="2">
        <v>131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2:8" x14ac:dyDescent="0.35">
      <c r="B36" s="2">
        <v>132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2:8" x14ac:dyDescent="0.35">
      <c r="B37" s="2">
        <v>133</v>
      </c>
      <c r="C37" s="4">
        <v>0</v>
      </c>
      <c r="D37" s="4">
        <v>0</v>
      </c>
      <c r="E37" s="4">
        <v>0</v>
      </c>
      <c r="F37" s="3">
        <v>5</v>
      </c>
      <c r="G37" s="4">
        <v>0</v>
      </c>
      <c r="H37" s="4">
        <v>0</v>
      </c>
    </row>
    <row r="38" spans="2:8" x14ac:dyDescent="0.35">
      <c r="B38" s="2">
        <v>134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2:8" x14ac:dyDescent="0.35">
      <c r="B39" s="2">
        <v>135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2:8" x14ac:dyDescent="0.35">
      <c r="B40" s="2">
        <v>136</v>
      </c>
      <c r="C40" s="3">
        <v>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2:8" x14ac:dyDescent="0.35">
      <c r="B41" s="2">
        <v>137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2:8" x14ac:dyDescent="0.35">
      <c r="B42" s="2">
        <v>138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2:8" x14ac:dyDescent="0.35">
      <c r="B43" s="2">
        <v>139</v>
      </c>
      <c r="C43" s="3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2:8" x14ac:dyDescent="0.35">
      <c r="B44" s="2">
        <v>140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2:8" x14ac:dyDescent="0.35">
      <c r="B45" s="2">
        <v>141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2:8" x14ac:dyDescent="0.35">
      <c r="B46" s="2">
        <v>142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2:8" x14ac:dyDescent="0.35">
      <c r="B47" s="2">
        <v>143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2:8" x14ac:dyDescent="0.35">
      <c r="B48" s="2">
        <v>144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2:8" x14ac:dyDescent="0.35">
      <c r="B49" s="2">
        <v>145</v>
      </c>
      <c r="C49" s="4">
        <v>0</v>
      </c>
      <c r="D49" s="4">
        <v>0</v>
      </c>
      <c r="E49" s="4">
        <v>0</v>
      </c>
      <c r="F49" s="3">
        <v>2</v>
      </c>
      <c r="G49" s="4">
        <v>0</v>
      </c>
      <c r="H49" s="4">
        <v>0</v>
      </c>
    </row>
    <row r="50" spans="2:8" x14ac:dyDescent="0.35">
      <c r="B50" s="2">
        <v>146</v>
      </c>
      <c r="C50" s="4">
        <v>0</v>
      </c>
      <c r="D50" s="4">
        <v>0</v>
      </c>
      <c r="E50" s="3">
        <v>1</v>
      </c>
      <c r="F50" s="4">
        <v>0</v>
      </c>
      <c r="G50" s="4">
        <v>0</v>
      </c>
      <c r="H50" s="4">
        <v>0</v>
      </c>
    </row>
    <row r="51" spans="2:8" x14ac:dyDescent="0.35">
      <c r="B51" s="2">
        <v>147</v>
      </c>
      <c r="C51" s="4">
        <v>0</v>
      </c>
      <c r="D51" s="3">
        <v>2</v>
      </c>
      <c r="E51" s="4">
        <v>0</v>
      </c>
      <c r="F51" s="4">
        <v>0</v>
      </c>
      <c r="G51" s="4">
        <v>0</v>
      </c>
      <c r="H51" s="4">
        <v>0</v>
      </c>
    </row>
    <row r="52" spans="2:8" x14ac:dyDescent="0.35">
      <c r="B52" s="2">
        <v>148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2:8" x14ac:dyDescent="0.35">
      <c r="B53" s="2">
        <v>149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2:8" x14ac:dyDescent="0.35">
      <c r="B54" s="2">
        <v>150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2:8" x14ac:dyDescent="0.35">
      <c r="B55" s="2">
        <v>151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2:8" x14ac:dyDescent="0.35">
      <c r="B56" s="2">
        <v>152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2:8" x14ac:dyDescent="0.35">
      <c r="B57" s="2">
        <v>153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2:8" x14ac:dyDescent="0.35">
      <c r="B58" s="2">
        <v>154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2:8" x14ac:dyDescent="0.35">
      <c r="B59" s="2">
        <v>155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2:8" x14ac:dyDescent="0.35">
      <c r="B60" s="2">
        <v>156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2:8" x14ac:dyDescent="0.35">
      <c r="B61" s="2">
        <v>157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2:8" x14ac:dyDescent="0.35">
      <c r="B62" s="2">
        <v>158</v>
      </c>
      <c r="C62" s="4">
        <v>0</v>
      </c>
      <c r="D62" s="4">
        <v>0</v>
      </c>
      <c r="E62" s="3">
        <v>5</v>
      </c>
      <c r="F62" s="3">
        <v>5</v>
      </c>
      <c r="G62" s="4">
        <v>0</v>
      </c>
      <c r="H62" s="4">
        <v>0</v>
      </c>
    </row>
    <row r="63" spans="2:8" x14ac:dyDescent="0.35">
      <c r="B63" s="2">
        <v>159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2:8" x14ac:dyDescent="0.35">
      <c r="B64" s="2">
        <v>160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2:8" x14ac:dyDescent="0.35">
      <c r="B65" s="2">
        <v>161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2:8" x14ac:dyDescent="0.35">
      <c r="B66" s="2">
        <v>162</v>
      </c>
      <c r="C66" s="4">
        <v>0</v>
      </c>
      <c r="D66" s="4">
        <v>0</v>
      </c>
      <c r="E66" s="3">
        <v>5</v>
      </c>
      <c r="F66" s="4">
        <v>0</v>
      </c>
      <c r="G66" s="4">
        <v>0</v>
      </c>
      <c r="H66" s="4">
        <v>0</v>
      </c>
    </row>
    <row r="67" spans="2:8" x14ac:dyDescent="0.35">
      <c r="B67" s="2">
        <v>163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2:8" x14ac:dyDescent="0.35">
      <c r="B68" s="2">
        <v>164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2:8" x14ac:dyDescent="0.35">
      <c r="B69" s="2">
        <v>165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2:8" x14ac:dyDescent="0.35">
      <c r="B70" s="2">
        <v>166</v>
      </c>
      <c r="C70" s="3">
        <v>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2:8" x14ac:dyDescent="0.35">
      <c r="B71" s="2">
        <v>167</v>
      </c>
      <c r="C71" s="3">
        <v>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2:8" x14ac:dyDescent="0.35">
      <c r="B72" s="2">
        <v>168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2:8" x14ac:dyDescent="0.35">
      <c r="B73" s="2">
        <v>169</v>
      </c>
      <c r="C73" s="4">
        <v>0</v>
      </c>
      <c r="D73" s="4">
        <v>0</v>
      </c>
      <c r="E73" s="3">
        <v>2</v>
      </c>
      <c r="F73" s="4">
        <v>0</v>
      </c>
      <c r="G73" s="4">
        <v>0</v>
      </c>
      <c r="H73" s="4">
        <v>0</v>
      </c>
    </row>
    <row r="74" spans="2:8" x14ac:dyDescent="0.35">
      <c r="B74" s="2">
        <v>170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2:8" x14ac:dyDescent="0.35">
      <c r="B75" s="2">
        <v>171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2:8" x14ac:dyDescent="0.35">
      <c r="B76" s="2">
        <v>172</v>
      </c>
      <c r="C76" s="3">
        <v>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2:8" x14ac:dyDescent="0.35">
      <c r="B77" s="2">
        <v>173</v>
      </c>
      <c r="C77" s="4">
        <v>0</v>
      </c>
      <c r="D77" s="4">
        <v>0</v>
      </c>
      <c r="E77" s="3">
        <v>3</v>
      </c>
      <c r="F77" s="4">
        <v>0</v>
      </c>
      <c r="G77" s="4">
        <v>0</v>
      </c>
      <c r="H77" s="4">
        <v>0</v>
      </c>
    </row>
    <row r="78" spans="2:8" x14ac:dyDescent="0.35">
      <c r="B78" s="2">
        <v>174</v>
      </c>
      <c r="C78" s="3">
        <v>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2:8" x14ac:dyDescent="0.35">
      <c r="B79" s="2">
        <v>175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2:8" x14ac:dyDescent="0.35">
      <c r="B80" s="2">
        <v>176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2:8" x14ac:dyDescent="0.35">
      <c r="B81" s="2">
        <v>177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2:8" x14ac:dyDescent="0.35">
      <c r="B82" s="2">
        <v>178</v>
      </c>
      <c r="C82" s="4">
        <v>0</v>
      </c>
      <c r="D82" s="4">
        <v>0</v>
      </c>
      <c r="E82" s="4">
        <v>0</v>
      </c>
      <c r="F82" s="3">
        <v>3</v>
      </c>
      <c r="G82" s="4">
        <v>0</v>
      </c>
      <c r="H82" s="4">
        <v>0</v>
      </c>
    </row>
    <row r="83" spans="2:8" x14ac:dyDescent="0.35">
      <c r="B83" s="2">
        <v>179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2:8" x14ac:dyDescent="0.35">
      <c r="B84" s="2">
        <v>180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2:8" x14ac:dyDescent="0.35">
      <c r="B85" s="2">
        <v>181</v>
      </c>
      <c r="C85" s="3">
        <v>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2:8" x14ac:dyDescent="0.35">
      <c r="B86" s="2">
        <v>182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2:8" x14ac:dyDescent="0.35">
      <c r="B87" s="2">
        <v>183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2:8" x14ac:dyDescent="0.35">
      <c r="B88" s="2">
        <v>184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2:8" x14ac:dyDescent="0.35">
      <c r="B89" s="2">
        <v>185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2:8" x14ac:dyDescent="0.35">
      <c r="B90" s="2">
        <v>186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2:8" x14ac:dyDescent="0.35">
      <c r="B91" s="2">
        <v>187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2:8" x14ac:dyDescent="0.35">
      <c r="B92" s="2">
        <v>188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2:8" x14ac:dyDescent="0.35">
      <c r="B93" s="2">
        <v>189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2:8" x14ac:dyDescent="0.35">
      <c r="B94" s="2">
        <v>190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2:8" x14ac:dyDescent="0.35">
      <c r="B95" s="2">
        <v>191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2:8" x14ac:dyDescent="0.35">
      <c r="B96" s="2">
        <v>192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2:8" x14ac:dyDescent="0.35">
      <c r="B97" s="2">
        <v>193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2:8" x14ac:dyDescent="0.35">
      <c r="B98" s="2">
        <v>194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2:8" x14ac:dyDescent="0.35">
      <c r="B99" s="2">
        <v>195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2:8" x14ac:dyDescent="0.35">
      <c r="B100" s="2">
        <v>196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</row>
    <row r="101" spans="2:8" x14ac:dyDescent="0.35">
      <c r="B101" s="2">
        <v>197</v>
      </c>
      <c r="C101" s="4">
        <v>0</v>
      </c>
      <c r="D101" s="3">
        <v>4</v>
      </c>
      <c r="E101" s="4">
        <v>0</v>
      </c>
      <c r="F101" s="4">
        <v>0</v>
      </c>
      <c r="G101" s="4">
        <v>0</v>
      </c>
      <c r="H101" s="4">
        <v>0</v>
      </c>
    </row>
    <row r="102" spans="2:8" x14ac:dyDescent="0.35">
      <c r="B102" s="2">
        <v>198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2:8" x14ac:dyDescent="0.35">
      <c r="B103" s="2">
        <v>199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</row>
    <row r="104" spans="2:8" x14ac:dyDescent="0.35">
      <c r="B104" s="2">
        <v>200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</row>
    <row r="105" spans="2:8" x14ac:dyDescent="0.35">
      <c r="B105" s="2">
        <v>201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</row>
    <row r="106" spans="2:8" x14ac:dyDescent="0.35">
      <c r="B106" s="2">
        <v>202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</row>
    <row r="107" spans="2:8" x14ac:dyDescent="0.35">
      <c r="B107" s="2">
        <v>203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</row>
    <row r="108" spans="2:8" x14ac:dyDescent="0.35">
      <c r="B108" s="2">
        <v>204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2:8" x14ac:dyDescent="0.35">
      <c r="B109" s="2">
        <v>205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</row>
    <row r="110" spans="2:8" x14ac:dyDescent="0.35">
      <c r="B110" s="2">
        <v>206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2:8" x14ac:dyDescent="0.35">
      <c r="B111" s="2">
        <v>207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2:8" x14ac:dyDescent="0.35">
      <c r="B112" s="2">
        <v>208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2:8" x14ac:dyDescent="0.35">
      <c r="B113" s="2">
        <v>209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2:8" x14ac:dyDescent="0.35">
      <c r="B114" s="2">
        <v>210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2:8" x14ac:dyDescent="0.35">
      <c r="B115" s="2">
        <v>211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2:8" x14ac:dyDescent="0.35">
      <c r="B116" s="2">
        <v>212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2:8" x14ac:dyDescent="0.35">
      <c r="B117" s="2">
        <v>213</v>
      </c>
      <c r="C117" s="4">
        <v>0</v>
      </c>
      <c r="D117" s="4">
        <v>0</v>
      </c>
      <c r="E117" s="4">
        <v>0</v>
      </c>
      <c r="F117" s="3">
        <v>6</v>
      </c>
      <c r="G117" s="4">
        <v>0</v>
      </c>
      <c r="H117" s="4">
        <v>0</v>
      </c>
    </row>
    <row r="118" spans="2:8" x14ac:dyDescent="0.35">
      <c r="B118" s="2">
        <v>214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2:8" x14ac:dyDescent="0.35">
      <c r="B119" s="2">
        <v>215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2:8" x14ac:dyDescent="0.35">
      <c r="B120" s="2">
        <v>216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2:8" x14ac:dyDescent="0.35">
      <c r="B121" s="2">
        <v>217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2:8" x14ac:dyDescent="0.35">
      <c r="B122" s="2">
        <v>218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2:8" x14ac:dyDescent="0.35">
      <c r="B123" s="2">
        <v>219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</row>
    <row r="124" spans="2:8" x14ac:dyDescent="0.35">
      <c r="B124" s="2">
        <v>220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2:8" x14ac:dyDescent="0.35">
      <c r="B125" s="2">
        <v>221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</row>
    <row r="126" spans="2:8" x14ac:dyDescent="0.35">
      <c r="B126" s="2">
        <v>222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2:8" x14ac:dyDescent="0.35">
      <c r="B127" s="2">
        <v>223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2:8" x14ac:dyDescent="0.35">
      <c r="B128" s="2">
        <v>224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2:8" x14ac:dyDescent="0.35">
      <c r="B129" s="2">
        <v>225</v>
      </c>
      <c r="C129" s="3">
        <v>2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</row>
    <row r="130" spans="2:8" x14ac:dyDescent="0.35">
      <c r="B130" s="2">
        <v>226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2:8" x14ac:dyDescent="0.35">
      <c r="B131" s="2">
        <v>227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</row>
    <row r="132" spans="2:8" x14ac:dyDescent="0.35">
      <c r="B132" s="2">
        <v>228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2:8" x14ac:dyDescent="0.35">
      <c r="B133" s="2">
        <v>229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</row>
    <row r="134" spans="2:8" x14ac:dyDescent="0.35">
      <c r="B134" s="2">
        <v>230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</row>
    <row r="135" spans="2:8" x14ac:dyDescent="0.35">
      <c r="B135" s="2">
        <v>231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</row>
    <row r="136" spans="2:8" x14ac:dyDescent="0.35">
      <c r="B136" s="2">
        <v>232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2:8" x14ac:dyDescent="0.35">
      <c r="B137" s="2">
        <v>233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</row>
    <row r="138" spans="2:8" x14ac:dyDescent="0.35">
      <c r="B138" s="2">
        <v>234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</row>
    <row r="139" spans="2:8" x14ac:dyDescent="0.35">
      <c r="B139" s="2">
        <v>235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</row>
    <row r="140" spans="2:8" x14ac:dyDescent="0.35">
      <c r="B140" s="2">
        <v>236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</row>
    <row r="141" spans="2:8" x14ac:dyDescent="0.35">
      <c r="B141" s="2">
        <v>237</v>
      </c>
      <c r="C141" s="3">
        <v>2</v>
      </c>
      <c r="D141" s="4">
        <v>0</v>
      </c>
      <c r="E141" s="4">
        <v>0</v>
      </c>
      <c r="F141" s="3">
        <v>2</v>
      </c>
      <c r="G141" s="4">
        <v>0</v>
      </c>
      <c r="H141" s="4">
        <v>0</v>
      </c>
    </row>
    <row r="142" spans="2:8" x14ac:dyDescent="0.35">
      <c r="B142" s="2">
        <v>238</v>
      </c>
      <c r="C142" s="4">
        <v>0</v>
      </c>
      <c r="D142" s="4">
        <v>0</v>
      </c>
      <c r="E142" s="4">
        <v>0</v>
      </c>
      <c r="F142" s="3">
        <v>5</v>
      </c>
      <c r="G142" s="4">
        <v>0</v>
      </c>
      <c r="H142" s="4">
        <v>0</v>
      </c>
    </row>
    <row r="143" spans="2:8" x14ac:dyDescent="0.35">
      <c r="B143" s="2">
        <v>239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</row>
    <row r="144" spans="2:8" x14ac:dyDescent="0.35">
      <c r="B144" s="2">
        <v>240</v>
      </c>
      <c r="C144" s="3">
        <v>3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</row>
    <row r="145" spans="2:8" x14ac:dyDescent="0.35">
      <c r="B145" s="2">
        <v>241</v>
      </c>
      <c r="C145" s="3">
        <v>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</row>
    <row r="146" spans="2:8" x14ac:dyDescent="0.35">
      <c r="B146" s="2">
        <v>242</v>
      </c>
      <c r="C146" s="3">
        <v>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</row>
    <row r="147" spans="2:8" x14ac:dyDescent="0.35">
      <c r="B147" s="2">
        <v>243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</row>
    <row r="148" spans="2:8" x14ac:dyDescent="0.35">
      <c r="B148" s="2">
        <v>244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</row>
    <row r="149" spans="2:8" x14ac:dyDescent="0.35">
      <c r="B149" s="2">
        <v>245</v>
      </c>
      <c r="C149" s="4">
        <v>0</v>
      </c>
      <c r="D149" s="4">
        <v>0</v>
      </c>
      <c r="E149" s="4">
        <v>0</v>
      </c>
      <c r="F149" s="3">
        <v>4</v>
      </c>
      <c r="G149" s="4">
        <v>0</v>
      </c>
      <c r="H149" s="4">
        <v>0</v>
      </c>
    </row>
    <row r="150" spans="2:8" x14ac:dyDescent="0.35">
      <c r="B150" s="2">
        <v>246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</row>
    <row r="151" spans="2:8" x14ac:dyDescent="0.35">
      <c r="B151" s="2">
        <v>247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</row>
    <row r="152" spans="2:8" x14ac:dyDescent="0.35">
      <c r="B152" s="2">
        <v>248</v>
      </c>
      <c r="C152" s="3">
        <v>2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</row>
    <row r="153" spans="2:8" x14ac:dyDescent="0.35">
      <c r="B153" s="2">
        <v>249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</row>
    <row r="154" spans="2:8" x14ac:dyDescent="0.35">
      <c r="B154" s="2">
        <v>250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</row>
    <row r="155" spans="2:8" x14ac:dyDescent="0.35">
      <c r="B155" s="2">
        <v>251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2:8" x14ac:dyDescent="0.35">
      <c r="B156" s="2">
        <v>252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</row>
    <row r="157" spans="2:8" x14ac:dyDescent="0.35">
      <c r="B157" s="2">
        <v>253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</row>
    <row r="158" spans="2:8" x14ac:dyDescent="0.35">
      <c r="B158" s="2">
        <v>254</v>
      </c>
      <c r="C158" s="3">
        <v>3</v>
      </c>
      <c r="D158" s="3">
        <v>1</v>
      </c>
      <c r="E158" s="4">
        <v>0</v>
      </c>
      <c r="F158" s="4">
        <v>0</v>
      </c>
      <c r="G158" s="4">
        <v>0</v>
      </c>
      <c r="H158" s="4">
        <v>0</v>
      </c>
    </row>
    <row r="159" spans="2:8" x14ac:dyDescent="0.35">
      <c r="B159" s="2">
        <v>255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</row>
    <row r="160" spans="2:8" x14ac:dyDescent="0.35">
      <c r="B160" s="2">
        <v>256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</row>
    <row r="161" spans="2:8" x14ac:dyDescent="0.35">
      <c r="B161" s="2">
        <v>257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</row>
    <row r="162" spans="2:8" x14ac:dyDescent="0.35">
      <c r="B162" s="2">
        <v>258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</row>
    <row r="163" spans="2:8" x14ac:dyDescent="0.35">
      <c r="B163" s="2">
        <v>259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</row>
    <row r="164" spans="2:8" x14ac:dyDescent="0.35">
      <c r="B164" s="2">
        <v>260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</row>
    <row r="165" spans="2:8" x14ac:dyDescent="0.35">
      <c r="B165" s="2">
        <v>261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</row>
    <row r="166" spans="2:8" x14ac:dyDescent="0.35">
      <c r="B166" s="2">
        <v>262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</row>
    <row r="167" spans="2:8" x14ac:dyDescent="0.35">
      <c r="B167" s="2">
        <v>263</v>
      </c>
      <c r="C167" s="4">
        <v>0</v>
      </c>
      <c r="D167" s="3">
        <v>5</v>
      </c>
      <c r="E167" s="4">
        <v>0</v>
      </c>
      <c r="F167" s="4">
        <v>0</v>
      </c>
      <c r="G167" s="4">
        <v>0</v>
      </c>
      <c r="H167" s="4">
        <v>0</v>
      </c>
    </row>
    <row r="168" spans="2:8" x14ac:dyDescent="0.35">
      <c r="B168" s="2">
        <v>264</v>
      </c>
      <c r="C168" s="3">
        <v>2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</row>
    <row r="169" spans="2:8" x14ac:dyDescent="0.35">
      <c r="B169" s="2">
        <v>265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2:8" x14ac:dyDescent="0.35">
      <c r="B170" s="2">
        <v>266</v>
      </c>
      <c r="C170" s="4">
        <v>0</v>
      </c>
      <c r="D170" s="4">
        <v>0</v>
      </c>
      <c r="E170" s="4">
        <v>0</v>
      </c>
      <c r="F170" s="3">
        <v>5</v>
      </c>
      <c r="G170" s="4">
        <v>0</v>
      </c>
      <c r="H170" s="4">
        <v>0</v>
      </c>
    </row>
    <row r="171" spans="2:8" x14ac:dyDescent="0.35">
      <c r="B171" s="2">
        <v>267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</row>
    <row r="172" spans="2:8" x14ac:dyDescent="0.35">
      <c r="B172" s="2">
        <v>268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</row>
    <row r="173" spans="2:8" x14ac:dyDescent="0.35">
      <c r="B173" s="2">
        <v>269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</row>
    <row r="174" spans="2:8" x14ac:dyDescent="0.35">
      <c r="B174" s="2">
        <v>270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</row>
    <row r="175" spans="2:8" x14ac:dyDescent="0.35">
      <c r="B175" s="2">
        <v>271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</row>
    <row r="176" spans="2:8" x14ac:dyDescent="0.35">
      <c r="B176" s="2">
        <v>272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</row>
    <row r="177" spans="2:8" x14ac:dyDescent="0.35">
      <c r="B177" s="2">
        <v>273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2:8" x14ac:dyDescent="0.35">
      <c r="B178" s="2">
        <v>274</v>
      </c>
      <c r="C178" s="4">
        <v>0</v>
      </c>
      <c r="D178" s="4">
        <v>0</v>
      </c>
      <c r="E178" s="4">
        <v>0</v>
      </c>
      <c r="F178" s="3">
        <v>8</v>
      </c>
      <c r="G178" s="4">
        <v>0</v>
      </c>
      <c r="H178" s="4">
        <v>0</v>
      </c>
    </row>
    <row r="179" spans="2:8" x14ac:dyDescent="0.35">
      <c r="B179" s="2">
        <v>275</v>
      </c>
      <c r="C179" s="3">
        <v>8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2:8" x14ac:dyDescent="0.35">
      <c r="B180" s="2">
        <v>276</v>
      </c>
      <c r="C180" s="3">
        <v>3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2:8" x14ac:dyDescent="0.35">
      <c r="B181" s="2">
        <v>277</v>
      </c>
      <c r="C181" s="4"/>
      <c r="D181" s="4"/>
      <c r="E181" s="4"/>
      <c r="F181" s="4"/>
      <c r="G181" s="4"/>
      <c r="H181" s="4"/>
    </row>
    <row r="182" spans="2:8" x14ac:dyDescent="0.35">
      <c r="B182" s="2">
        <v>278</v>
      </c>
      <c r="C182" s="4"/>
      <c r="D182" s="4"/>
      <c r="E182" s="4"/>
      <c r="F182" s="4"/>
      <c r="G182" s="4"/>
      <c r="H182" s="4"/>
    </row>
    <row r="183" spans="2:8" x14ac:dyDescent="0.35">
      <c r="B183" s="2">
        <v>279</v>
      </c>
      <c r="C183" s="4"/>
      <c r="D183" s="4"/>
      <c r="E183" s="4"/>
      <c r="F183" s="4"/>
      <c r="G183" s="4"/>
      <c r="H183" s="4"/>
    </row>
    <row r="184" spans="2:8" x14ac:dyDescent="0.35">
      <c r="B184" s="2">
        <v>280</v>
      </c>
      <c r="C184" s="4"/>
      <c r="D184" s="4"/>
      <c r="E184" s="4"/>
      <c r="F184" s="4"/>
      <c r="G184" s="4"/>
      <c r="H184" s="4"/>
    </row>
    <row r="185" spans="2:8" x14ac:dyDescent="0.35">
      <c r="B185" s="2">
        <v>281</v>
      </c>
      <c r="C185" s="4"/>
      <c r="D185" s="4"/>
      <c r="E185" s="4"/>
      <c r="F185" s="4"/>
      <c r="G185" s="4"/>
      <c r="H185" s="4"/>
    </row>
    <row r="186" spans="2:8" x14ac:dyDescent="0.35">
      <c r="B186" s="2">
        <v>282</v>
      </c>
      <c r="C186" s="4"/>
      <c r="D186" s="4"/>
      <c r="E186" s="4"/>
      <c r="F186" s="4"/>
      <c r="G186" s="4"/>
      <c r="H186" s="4"/>
    </row>
    <row r="187" spans="2:8" x14ac:dyDescent="0.35">
      <c r="B187" s="2">
        <v>283</v>
      </c>
      <c r="C187" s="4"/>
      <c r="D187" s="4"/>
      <c r="E187" s="4"/>
      <c r="F187" s="4"/>
      <c r="G187" s="4"/>
      <c r="H187" s="4"/>
    </row>
    <row r="188" spans="2:8" x14ac:dyDescent="0.35">
      <c r="B188" s="2">
        <v>284</v>
      </c>
      <c r="C188" s="4"/>
      <c r="D188" s="4"/>
      <c r="E188" s="4"/>
      <c r="F188" s="4"/>
      <c r="G188" s="4"/>
      <c r="H188" s="4"/>
    </row>
    <row r="189" spans="2:8" x14ac:dyDescent="0.35">
      <c r="B189" s="2">
        <v>285</v>
      </c>
      <c r="C189" s="4"/>
      <c r="D189" s="4"/>
      <c r="E189" s="4"/>
      <c r="F189" s="4"/>
      <c r="G189" s="4"/>
      <c r="H189" s="4"/>
    </row>
    <row r="190" spans="2:8" x14ac:dyDescent="0.35">
      <c r="B190" s="2">
        <v>286</v>
      </c>
      <c r="C190" s="4"/>
      <c r="D190" s="4"/>
      <c r="E190" s="4"/>
      <c r="F190" s="4"/>
      <c r="G190" s="4"/>
      <c r="H190" s="4"/>
    </row>
    <row r="191" spans="2:8" x14ac:dyDescent="0.35">
      <c r="B191" s="2">
        <v>287</v>
      </c>
      <c r="C191" s="4"/>
      <c r="D191" s="4"/>
      <c r="E191" s="4"/>
      <c r="F191" s="4"/>
      <c r="G191" s="4"/>
      <c r="H191" s="4"/>
    </row>
    <row r="192" spans="2:8" x14ac:dyDescent="0.35">
      <c r="B192" s="2">
        <v>288</v>
      </c>
      <c r="C192" s="4"/>
      <c r="D192" s="4"/>
      <c r="E192" s="4"/>
      <c r="F192" s="4"/>
      <c r="G192" s="4"/>
      <c r="H192" s="4"/>
    </row>
    <row r="193" spans="1:8" x14ac:dyDescent="0.35">
      <c r="B193" s="2">
        <v>289</v>
      </c>
      <c r="C193" s="4"/>
      <c r="D193" s="4"/>
      <c r="E193" s="4"/>
      <c r="F193" s="4"/>
      <c r="G193" s="4"/>
      <c r="H193" s="4"/>
    </row>
    <row r="194" spans="1:8" x14ac:dyDescent="0.35">
      <c r="B194" s="2">
        <v>290</v>
      </c>
      <c r="C194" s="4"/>
      <c r="D194" s="4"/>
      <c r="E194" s="4"/>
      <c r="F194" s="4"/>
      <c r="G194" s="4"/>
      <c r="H194" s="4"/>
    </row>
    <row r="195" spans="1:8" x14ac:dyDescent="0.35">
      <c r="B195" s="2">
        <v>291</v>
      </c>
      <c r="C195" s="4"/>
      <c r="D195" s="4"/>
      <c r="E195" s="4"/>
      <c r="F195" s="4"/>
      <c r="G195" s="4"/>
      <c r="H195" s="4"/>
    </row>
    <row r="196" spans="1:8" x14ac:dyDescent="0.35">
      <c r="B196" s="2">
        <v>292</v>
      </c>
      <c r="C196" s="4"/>
      <c r="D196" s="4"/>
      <c r="E196" s="4"/>
      <c r="F196" s="4"/>
      <c r="G196" s="4"/>
      <c r="H196" s="4"/>
    </row>
    <row r="197" spans="1:8" x14ac:dyDescent="0.35">
      <c r="B197" s="2">
        <v>293</v>
      </c>
      <c r="C197" s="4"/>
      <c r="D197" s="4"/>
      <c r="E197" s="4"/>
      <c r="F197" s="4"/>
      <c r="G197" s="4"/>
      <c r="H197" s="4"/>
    </row>
    <row r="198" spans="1:8" x14ac:dyDescent="0.35">
      <c r="B198" s="2">
        <v>294</v>
      </c>
      <c r="C198" s="4"/>
      <c r="D198" s="4"/>
      <c r="E198" s="4"/>
      <c r="F198" s="4"/>
      <c r="G198" s="4"/>
      <c r="H198" s="4"/>
    </row>
    <row r="199" spans="1:8" x14ac:dyDescent="0.35">
      <c r="B199" s="2">
        <v>295</v>
      </c>
      <c r="C199" s="4"/>
      <c r="D199" s="4"/>
      <c r="E199" s="4"/>
      <c r="F199" s="4"/>
      <c r="G199" s="4"/>
      <c r="H199" s="4"/>
    </row>
    <row r="200" spans="1:8" x14ac:dyDescent="0.35">
      <c r="B200" s="2">
        <v>296</v>
      </c>
      <c r="C200" s="4"/>
      <c r="D200" s="4"/>
      <c r="E200" s="4"/>
      <c r="F200" s="4"/>
      <c r="G200" s="4"/>
      <c r="H200" s="4"/>
    </row>
    <row r="201" spans="1:8" ht="15" thickBot="1" x14ac:dyDescent="0.4">
      <c r="B201" s="2">
        <v>297</v>
      </c>
      <c r="C201" s="14"/>
      <c r="D201" s="14"/>
      <c r="E201" s="14"/>
      <c r="F201" s="14"/>
      <c r="G201" s="14"/>
      <c r="H201" s="14"/>
    </row>
    <row r="202" spans="1:8" ht="15" thickBot="1" x14ac:dyDescent="0.4">
      <c r="A202" s="17" t="s">
        <v>1</v>
      </c>
      <c r="B202" s="20"/>
      <c r="C202" s="7">
        <f t="shared" ref="C202:H202" si="0">SUM(C4:C201)</f>
        <v>79</v>
      </c>
      <c r="D202" s="7">
        <f t="shared" si="0"/>
        <v>26</v>
      </c>
      <c r="E202" s="7">
        <f t="shared" si="0"/>
        <v>18</v>
      </c>
      <c r="F202" s="7">
        <f t="shared" si="0"/>
        <v>69</v>
      </c>
      <c r="G202" s="7">
        <f t="shared" si="0"/>
        <v>0</v>
      </c>
      <c r="H202" s="8">
        <f t="shared" si="0"/>
        <v>0</v>
      </c>
    </row>
    <row r="203" spans="1:8" x14ac:dyDescent="0.35">
      <c r="A203" t="s">
        <v>29</v>
      </c>
      <c r="B203">
        <v>1</v>
      </c>
      <c r="C203">
        <f t="shared" ref="C203:C227" si="1">COUNTIF($C$4:$C$201, $B203)</f>
        <v>0</v>
      </c>
      <c r="D203">
        <f t="shared" ref="D203:D227" si="2">COUNTIF($D$4:$D$201, $B203)</f>
        <v>1</v>
      </c>
      <c r="E203">
        <f t="shared" ref="E203:E227" si="3">COUNTIF($E$4:$E$201, $B203)</f>
        <v>1</v>
      </c>
      <c r="F203">
        <f t="shared" ref="F203:F227" si="4">COUNTIF($F$4:$F$201, $B203)</f>
        <v>0</v>
      </c>
      <c r="G203">
        <f t="shared" ref="G203:G226" si="5">COUNTIF($G$4:$G$201, $B203)</f>
        <v>0</v>
      </c>
      <c r="H203">
        <f t="shared" ref="H203:H227" si="6">COUNTIF($H$4:$H$201, $B203)</f>
        <v>0</v>
      </c>
    </row>
    <row r="204" spans="1:8" x14ac:dyDescent="0.35">
      <c r="A204" t="s">
        <v>29</v>
      </c>
      <c r="B204">
        <v>2</v>
      </c>
      <c r="C204">
        <f t="shared" si="1"/>
        <v>6</v>
      </c>
      <c r="D204">
        <f t="shared" si="2"/>
        <v>2</v>
      </c>
      <c r="E204">
        <f t="shared" si="3"/>
        <v>2</v>
      </c>
      <c r="F204">
        <f t="shared" si="4"/>
        <v>3</v>
      </c>
      <c r="G204">
        <f t="shared" si="5"/>
        <v>0</v>
      </c>
      <c r="H204">
        <f t="shared" si="6"/>
        <v>0</v>
      </c>
    </row>
    <row r="205" spans="1:8" x14ac:dyDescent="0.35">
      <c r="A205" t="s">
        <v>29</v>
      </c>
      <c r="B205">
        <v>3</v>
      </c>
      <c r="C205">
        <f t="shared" si="1"/>
        <v>7</v>
      </c>
      <c r="D205">
        <f t="shared" si="2"/>
        <v>0</v>
      </c>
      <c r="E205">
        <f t="shared" si="3"/>
        <v>1</v>
      </c>
      <c r="F205">
        <f t="shared" si="4"/>
        <v>1</v>
      </c>
      <c r="G205">
        <f t="shared" si="5"/>
        <v>0</v>
      </c>
      <c r="H205">
        <f t="shared" si="6"/>
        <v>0</v>
      </c>
    </row>
    <row r="206" spans="1:8" x14ac:dyDescent="0.35">
      <c r="A206" t="s">
        <v>29</v>
      </c>
      <c r="B206">
        <v>4</v>
      </c>
      <c r="C206">
        <f t="shared" si="1"/>
        <v>2</v>
      </c>
      <c r="D206">
        <f t="shared" si="2"/>
        <v>4</v>
      </c>
      <c r="E206">
        <f t="shared" si="3"/>
        <v>0</v>
      </c>
      <c r="F206">
        <f t="shared" si="4"/>
        <v>1</v>
      </c>
      <c r="G206">
        <f t="shared" si="5"/>
        <v>0</v>
      </c>
      <c r="H206">
        <f t="shared" si="6"/>
        <v>0</v>
      </c>
    </row>
    <row r="207" spans="1:8" x14ac:dyDescent="0.35">
      <c r="A207" t="s">
        <v>29</v>
      </c>
      <c r="B207">
        <v>5</v>
      </c>
      <c r="C207">
        <f t="shared" si="1"/>
        <v>3</v>
      </c>
      <c r="D207">
        <f t="shared" si="2"/>
        <v>1</v>
      </c>
      <c r="E207">
        <f t="shared" si="3"/>
        <v>2</v>
      </c>
      <c r="F207">
        <f t="shared" si="4"/>
        <v>5</v>
      </c>
      <c r="G207">
        <f t="shared" si="5"/>
        <v>0</v>
      </c>
      <c r="H207">
        <f t="shared" si="6"/>
        <v>0</v>
      </c>
    </row>
    <row r="208" spans="1:8" x14ac:dyDescent="0.35">
      <c r="A208" t="s">
        <v>29</v>
      </c>
      <c r="B208">
        <v>6</v>
      </c>
      <c r="C208">
        <f t="shared" si="1"/>
        <v>0</v>
      </c>
      <c r="D208">
        <f t="shared" si="2"/>
        <v>0</v>
      </c>
      <c r="E208">
        <f t="shared" si="3"/>
        <v>0</v>
      </c>
      <c r="F208">
        <f t="shared" si="4"/>
        <v>1</v>
      </c>
      <c r="G208">
        <f t="shared" si="5"/>
        <v>0</v>
      </c>
      <c r="H208">
        <f t="shared" si="6"/>
        <v>0</v>
      </c>
    </row>
    <row r="209" spans="1:8" x14ac:dyDescent="0.35">
      <c r="A209" t="s">
        <v>29</v>
      </c>
      <c r="B209">
        <v>7</v>
      </c>
      <c r="C209">
        <f t="shared" si="1"/>
        <v>1</v>
      </c>
      <c r="D209">
        <f t="shared" si="2"/>
        <v>0</v>
      </c>
      <c r="E209">
        <f t="shared" si="3"/>
        <v>0</v>
      </c>
      <c r="F209">
        <f t="shared" si="4"/>
        <v>0</v>
      </c>
      <c r="G209">
        <f t="shared" si="5"/>
        <v>0</v>
      </c>
      <c r="H209">
        <f t="shared" si="6"/>
        <v>0</v>
      </c>
    </row>
    <row r="210" spans="1:8" x14ac:dyDescent="0.35">
      <c r="A210" t="s">
        <v>29</v>
      </c>
      <c r="B210">
        <v>8</v>
      </c>
      <c r="C210">
        <f t="shared" si="1"/>
        <v>2</v>
      </c>
      <c r="D210">
        <f t="shared" si="2"/>
        <v>0</v>
      </c>
      <c r="E210">
        <f t="shared" si="3"/>
        <v>0</v>
      </c>
      <c r="F210">
        <f t="shared" si="4"/>
        <v>2</v>
      </c>
      <c r="G210">
        <f t="shared" si="5"/>
        <v>0</v>
      </c>
      <c r="H210">
        <f t="shared" si="6"/>
        <v>0</v>
      </c>
    </row>
    <row r="211" spans="1:8" x14ac:dyDescent="0.35">
      <c r="A211" t="s">
        <v>29</v>
      </c>
      <c r="B211">
        <v>9</v>
      </c>
      <c r="C211">
        <f t="shared" si="1"/>
        <v>0</v>
      </c>
      <c r="D211">
        <f t="shared" si="2"/>
        <v>0</v>
      </c>
      <c r="E211">
        <f t="shared" si="3"/>
        <v>0</v>
      </c>
      <c r="F211">
        <f t="shared" si="4"/>
        <v>1</v>
      </c>
      <c r="G211">
        <f t="shared" si="5"/>
        <v>0</v>
      </c>
      <c r="H211">
        <f t="shared" si="6"/>
        <v>0</v>
      </c>
    </row>
    <row r="212" spans="1:8" x14ac:dyDescent="0.35">
      <c r="A212" t="s">
        <v>29</v>
      </c>
      <c r="B212">
        <v>10</v>
      </c>
      <c r="C212">
        <f t="shared" si="1"/>
        <v>0</v>
      </c>
      <c r="D212">
        <f t="shared" si="2"/>
        <v>0</v>
      </c>
      <c r="E212">
        <f t="shared" si="3"/>
        <v>0</v>
      </c>
      <c r="F212">
        <f t="shared" si="4"/>
        <v>0</v>
      </c>
      <c r="G212">
        <f t="shared" si="5"/>
        <v>0</v>
      </c>
      <c r="H212">
        <f t="shared" si="6"/>
        <v>0</v>
      </c>
    </row>
    <row r="213" spans="1:8" x14ac:dyDescent="0.35">
      <c r="A213" t="s">
        <v>29</v>
      </c>
      <c r="B213">
        <v>11</v>
      </c>
      <c r="C213">
        <f t="shared" si="1"/>
        <v>0</v>
      </c>
      <c r="D213">
        <f t="shared" si="2"/>
        <v>0</v>
      </c>
      <c r="E213">
        <f t="shared" si="3"/>
        <v>0</v>
      </c>
      <c r="F213">
        <f t="shared" si="4"/>
        <v>0</v>
      </c>
      <c r="G213">
        <f t="shared" si="5"/>
        <v>0</v>
      </c>
      <c r="H213">
        <f t="shared" si="6"/>
        <v>0</v>
      </c>
    </row>
    <row r="214" spans="1:8" x14ac:dyDescent="0.35">
      <c r="A214" t="s">
        <v>29</v>
      </c>
      <c r="B214">
        <v>12</v>
      </c>
      <c r="C214">
        <f t="shared" si="1"/>
        <v>0</v>
      </c>
      <c r="D214">
        <f t="shared" si="2"/>
        <v>0</v>
      </c>
      <c r="E214">
        <f t="shared" si="3"/>
        <v>0</v>
      </c>
      <c r="F214">
        <f t="shared" si="4"/>
        <v>0</v>
      </c>
      <c r="G214">
        <f t="shared" si="5"/>
        <v>0</v>
      </c>
      <c r="H214">
        <f t="shared" si="6"/>
        <v>0</v>
      </c>
    </row>
    <row r="215" spans="1:8" x14ac:dyDescent="0.35">
      <c r="A215" t="s">
        <v>29</v>
      </c>
      <c r="B215">
        <v>13</v>
      </c>
      <c r="C215">
        <f t="shared" si="1"/>
        <v>0</v>
      </c>
      <c r="D215">
        <f t="shared" si="2"/>
        <v>0</v>
      </c>
      <c r="E215">
        <f t="shared" si="3"/>
        <v>0</v>
      </c>
      <c r="F215">
        <f t="shared" si="4"/>
        <v>0</v>
      </c>
      <c r="G215">
        <f t="shared" si="5"/>
        <v>0</v>
      </c>
      <c r="H215">
        <f t="shared" si="6"/>
        <v>0</v>
      </c>
    </row>
    <row r="216" spans="1:8" x14ac:dyDescent="0.35">
      <c r="A216" t="s">
        <v>29</v>
      </c>
      <c r="B216">
        <v>14</v>
      </c>
      <c r="C216">
        <f t="shared" si="1"/>
        <v>0</v>
      </c>
      <c r="D216">
        <f t="shared" si="2"/>
        <v>0</v>
      </c>
      <c r="E216">
        <f t="shared" si="3"/>
        <v>0</v>
      </c>
      <c r="F216">
        <f t="shared" si="4"/>
        <v>0</v>
      </c>
      <c r="G216">
        <f t="shared" si="5"/>
        <v>0</v>
      </c>
      <c r="H216">
        <f t="shared" si="6"/>
        <v>0</v>
      </c>
    </row>
    <row r="217" spans="1:8" x14ac:dyDescent="0.35">
      <c r="A217" t="s">
        <v>29</v>
      </c>
      <c r="B217">
        <v>15</v>
      </c>
      <c r="C217">
        <f t="shared" si="1"/>
        <v>0</v>
      </c>
      <c r="D217">
        <f t="shared" si="2"/>
        <v>0</v>
      </c>
      <c r="E217">
        <f t="shared" si="3"/>
        <v>0</v>
      </c>
      <c r="F217">
        <f t="shared" si="4"/>
        <v>0</v>
      </c>
      <c r="G217">
        <f t="shared" si="5"/>
        <v>0</v>
      </c>
      <c r="H217">
        <f t="shared" si="6"/>
        <v>0</v>
      </c>
    </row>
    <row r="218" spans="1:8" x14ac:dyDescent="0.35">
      <c r="A218" t="s">
        <v>29</v>
      </c>
      <c r="B218">
        <v>16</v>
      </c>
      <c r="C218">
        <f t="shared" si="1"/>
        <v>0</v>
      </c>
      <c r="D218">
        <f t="shared" si="2"/>
        <v>0</v>
      </c>
      <c r="E218">
        <f t="shared" si="3"/>
        <v>0</v>
      </c>
      <c r="F218">
        <f t="shared" si="4"/>
        <v>0</v>
      </c>
      <c r="G218">
        <f t="shared" si="5"/>
        <v>0</v>
      </c>
      <c r="H218">
        <f t="shared" si="6"/>
        <v>0</v>
      </c>
    </row>
    <row r="219" spans="1:8" x14ac:dyDescent="0.35">
      <c r="A219" t="s">
        <v>29</v>
      </c>
      <c r="B219">
        <v>17</v>
      </c>
      <c r="C219">
        <f t="shared" si="1"/>
        <v>0</v>
      </c>
      <c r="D219">
        <f t="shared" si="2"/>
        <v>0</v>
      </c>
      <c r="E219">
        <f t="shared" si="3"/>
        <v>0</v>
      </c>
      <c r="F219">
        <f t="shared" si="4"/>
        <v>0</v>
      </c>
      <c r="G219">
        <f t="shared" si="5"/>
        <v>0</v>
      </c>
      <c r="H219">
        <f t="shared" si="6"/>
        <v>0</v>
      </c>
    </row>
    <row r="220" spans="1:8" x14ac:dyDescent="0.35">
      <c r="A220" t="s">
        <v>29</v>
      </c>
      <c r="B220">
        <v>18</v>
      </c>
      <c r="C220">
        <f t="shared" si="1"/>
        <v>0</v>
      </c>
      <c r="D220">
        <f t="shared" si="2"/>
        <v>0</v>
      </c>
      <c r="E220">
        <f t="shared" si="3"/>
        <v>0</v>
      </c>
      <c r="F220">
        <f t="shared" si="4"/>
        <v>0</v>
      </c>
      <c r="G220">
        <f t="shared" si="5"/>
        <v>0</v>
      </c>
      <c r="H220">
        <f t="shared" si="6"/>
        <v>0</v>
      </c>
    </row>
    <row r="221" spans="1:8" x14ac:dyDescent="0.35">
      <c r="A221" t="s">
        <v>29</v>
      </c>
      <c r="B221">
        <v>19</v>
      </c>
      <c r="C221">
        <f t="shared" si="1"/>
        <v>0</v>
      </c>
      <c r="D221">
        <f t="shared" si="2"/>
        <v>0</v>
      </c>
      <c r="E221">
        <f t="shared" si="3"/>
        <v>0</v>
      </c>
      <c r="F221">
        <f t="shared" si="4"/>
        <v>0</v>
      </c>
      <c r="G221">
        <f t="shared" si="5"/>
        <v>0</v>
      </c>
      <c r="H221">
        <f t="shared" si="6"/>
        <v>0</v>
      </c>
    </row>
    <row r="222" spans="1:8" x14ac:dyDescent="0.35">
      <c r="A222" t="s">
        <v>29</v>
      </c>
      <c r="B222">
        <v>20</v>
      </c>
      <c r="C222">
        <f t="shared" si="1"/>
        <v>0</v>
      </c>
      <c r="D222">
        <f t="shared" si="2"/>
        <v>0</v>
      </c>
      <c r="E222">
        <f t="shared" si="3"/>
        <v>0</v>
      </c>
      <c r="F222">
        <f t="shared" si="4"/>
        <v>0</v>
      </c>
      <c r="G222">
        <f t="shared" si="5"/>
        <v>0</v>
      </c>
      <c r="H222">
        <f t="shared" si="6"/>
        <v>0</v>
      </c>
    </row>
    <row r="223" spans="1:8" x14ac:dyDescent="0.35">
      <c r="A223" t="s">
        <v>29</v>
      </c>
      <c r="B223">
        <v>21</v>
      </c>
      <c r="C223">
        <f t="shared" si="1"/>
        <v>0</v>
      </c>
      <c r="D223">
        <f t="shared" si="2"/>
        <v>0</v>
      </c>
      <c r="E223">
        <f t="shared" si="3"/>
        <v>0</v>
      </c>
      <c r="F223">
        <f t="shared" si="4"/>
        <v>0</v>
      </c>
      <c r="G223">
        <f t="shared" si="5"/>
        <v>0</v>
      </c>
      <c r="H223">
        <f t="shared" si="6"/>
        <v>0</v>
      </c>
    </row>
    <row r="224" spans="1:8" x14ac:dyDescent="0.35">
      <c r="A224" t="s">
        <v>29</v>
      </c>
      <c r="B224">
        <v>22</v>
      </c>
      <c r="C224">
        <f t="shared" si="1"/>
        <v>0</v>
      </c>
      <c r="D224">
        <f t="shared" si="2"/>
        <v>0</v>
      </c>
      <c r="E224">
        <f t="shared" si="3"/>
        <v>0</v>
      </c>
      <c r="F224">
        <f t="shared" si="4"/>
        <v>0</v>
      </c>
      <c r="G224">
        <f t="shared" si="5"/>
        <v>0</v>
      </c>
      <c r="H224">
        <f t="shared" si="6"/>
        <v>0</v>
      </c>
    </row>
    <row r="225" spans="1:8" x14ac:dyDescent="0.35">
      <c r="A225" t="s">
        <v>29</v>
      </c>
      <c r="B225">
        <v>23</v>
      </c>
      <c r="C225">
        <f t="shared" si="1"/>
        <v>0</v>
      </c>
      <c r="D225">
        <f t="shared" si="2"/>
        <v>0</v>
      </c>
      <c r="E225">
        <f t="shared" si="3"/>
        <v>0</v>
      </c>
      <c r="F225">
        <f t="shared" si="4"/>
        <v>0</v>
      </c>
      <c r="G225">
        <f t="shared" si="5"/>
        <v>0</v>
      </c>
      <c r="H225">
        <f t="shared" si="6"/>
        <v>0</v>
      </c>
    </row>
    <row r="226" spans="1:8" x14ac:dyDescent="0.35">
      <c r="A226" t="s">
        <v>29</v>
      </c>
      <c r="B226">
        <v>24</v>
      </c>
      <c r="C226">
        <f t="shared" si="1"/>
        <v>0</v>
      </c>
      <c r="D226">
        <f t="shared" si="2"/>
        <v>0</v>
      </c>
      <c r="E226">
        <f t="shared" si="3"/>
        <v>0</v>
      </c>
      <c r="F226">
        <f t="shared" si="4"/>
        <v>0</v>
      </c>
      <c r="G226">
        <f t="shared" si="5"/>
        <v>0</v>
      </c>
      <c r="H226">
        <f t="shared" si="6"/>
        <v>0</v>
      </c>
    </row>
    <row r="227" spans="1:8" x14ac:dyDescent="0.35">
      <c r="A227" t="s">
        <v>29</v>
      </c>
      <c r="B227">
        <v>25</v>
      </c>
      <c r="C227">
        <f t="shared" si="1"/>
        <v>0</v>
      </c>
      <c r="D227">
        <f t="shared" si="2"/>
        <v>0</v>
      </c>
      <c r="E227">
        <f t="shared" si="3"/>
        <v>0</v>
      </c>
      <c r="F227">
        <f t="shared" si="4"/>
        <v>0</v>
      </c>
      <c r="G227">
        <f>COUNTIF($G$4:$G$164, $B227)</f>
        <v>0</v>
      </c>
      <c r="H227">
        <f t="shared" si="6"/>
        <v>0</v>
      </c>
    </row>
  </sheetData>
  <mergeCells count="3">
    <mergeCell ref="A1:C1"/>
    <mergeCell ref="B2:C2"/>
    <mergeCell ref="A202:B2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7"/>
  <sheetViews>
    <sheetView topLeftCell="A2" zoomScaleNormal="100" workbookViewId="0">
      <pane ySplit="2" topLeftCell="A201" activePane="bottomLeft" state="frozen"/>
      <selection activeCell="A2" sqref="A2"/>
      <selection pane="bottomLeft" activeCell="C171" sqref="C171"/>
    </sheetView>
  </sheetViews>
  <sheetFormatPr defaultRowHeight="14.5" x14ac:dyDescent="0.35"/>
  <cols>
    <col min="2" max="2" width="10.54296875" customWidth="1"/>
    <col min="3" max="3" width="18.6328125" customWidth="1"/>
    <col min="4" max="4" width="17.36328125" customWidth="1"/>
    <col min="5" max="5" width="18.7265625" customWidth="1"/>
    <col min="6" max="6" width="17.36328125" customWidth="1"/>
    <col min="7" max="7" width="17.1796875" customWidth="1"/>
    <col min="8" max="8" width="14.1796875" customWidth="1"/>
  </cols>
  <sheetData>
    <row r="1" spans="1:8" x14ac:dyDescent="0.35">
      <c r="A1" s="16" t="s">
        <v>19</v>
      </c>
      <c r="B1" s="16"/>
      <c r="C1" s="16"/>
    </row>
    <row r="2" spans="1:8" x14ac:dyDescent="0.35">
      <c r="B2" s="16" t="s">
        <v>54</v>
      </c>
      <c r="C2" s="16"/>
    </row>
    <row r="3" spans="1:8" ht="43.5" x14ac:dyDescent="0.35">
      <c r="B3" t="s">
        <v>0</v>
      </c>
      <c r="C3" s="1" t="s">
        <v>91</v>
      </c>
      <c r="D3" s="1" t="s">
        <v>55</v>
      </c>
      <c r="E3" s="1" t="s">
        <v>92</v>
      </c>
      <c r="F3" s="1" t="s">
        <v>93</v>
      </c>
      <c r="G3" s="1" t="s">
        <v>94</v>
      </c>
      <c r="H3" s="1" t="s">
        <v>82</v>
      </c>
    </row>
    <row r="4" spans="1:8" x14ac:dyDescent="0.35">
      <c r="B4" s="2">
        <v>100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 x14ac:dyDescent="0.35">
      <c r="B5" s="2">
        <v>101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35">
      <c r="B6" s="2">
        <v>102</v>
      </c>
      <c r="C6" s="3">
        <v>1</v>
      </c>
      <c r="D6" s="3">
        <v>8</v>
      </c>
      <c r="E6" s="4">
        <v>0</v>
      </c>
      <c r="F6" s="4">
        <v>0</v>
      </c>
      <c r="G6" s="4">
        <v>0</v>
      </c>
      <c r="H6" s="4">
        <v>0</v>
      </c>
    </row>
    <row r="7" spans="1:8" x14ac:dyDescent="0.35">
      <c r="B7" s="2">
        <v>103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35">
      <c r="B8" s="2">
        <v>104</v>
      </c>
      <c r="C8" s="4">
        <v>0</v>
      </c>
      <c r="D8" s="3">
        <v>2</v>
      </c>
      <c r="E8" s="4">
        <v>0</v>
      </c>
      <c r="F8" s="3">
        <v>2</v>
      </c>
      <c r="G8" s="4">
        <v>0</v>
      </c>
      <c r="H8" s="4">
        <v>0</v>
      </c>
    </row>
    <row r="9" spans="1:8" x14ac:dyDescent="0.35">
      <c r="B9" s="2">
        <v>105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 x14ac:dyDescent="0.35">
      <c r="B10" s="2">
        <v>106</v>
      </c>
      <c r="C10" s="4">
        <v>0</v>
      </c>
      <c r="D10" s="3">
        <v>1</v>
      </c>
      <c r="E10" s="4">
        <v>0</v>
      </c>
      <c r="F10" s="3">
        <v>1</v>
      </c>
      <c r="G10" s="4">
        <v>0</v>
      </c>
      <c r="H10" s="4">
        <v>0</v>
      </c>
    </row>
    <row r="11" spans="1:8" x14ac:dyDescent="0.35">
      <c r="B11" s="2">
        <v>107</v>
      </c>
      <c r="C11" s="4">
        <v>0</v>
      </c>
      <c r="D11" s="3">
        <v>4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35">
      <c r="B12" s="2">
        <v>108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5">
      <c r="B13" s="2">
        <v>109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35">
      <c r="B14" s="2">
        <v>110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x14ac:dyDescent="0.35">
      <c r="B15" s="2">
        <v>111</v>
      </c>
      <c r="C15" s="3">
        <v>3</v>
      </c>
      <c r="D15" s="4">
        <v>0</v>
      </c>
      <c r="E15" s="4">
        <v>0</v>
      </c>
      <c r="F15" s="3">
        <v>2</v>
      </c>
      <c r="G15" s="4">
        <v>0</v>
      </c>
      <c r="H15" s="4">
        <v>0</v>
      </c>
    </row>
    <row r="16" spans="1:8" x14ac:dyDescent="0.35">
      <c r="B16" s="2">
        <v>112</v>
      </c>
      <c r="C16" s="4">
        <v>0</v>
      </c>
      <c r="D16" s="3">
        <v>8</v>
      </c>
      <c r="E16" s="4">
        <v>0</v>
      </c>
      <c r="F16" s="4">
        <v>0</v>
      </c>
      <c r="G16" s="4">
        <v>0</v>
      </c>
      <c r="H16" s="4">
        <v>0</v>
      </c>
    </row>
    <row r="17" spans="2:8" x14ac:dyDescent="0.35">
      <c r="B17" s="2">
        <v>113</v>
      </c>
      <c r="C17" s="4">
        <v>0</v>
      </c>
      <c r="D17" s="4">
        <v>0</v>
      </c>
      <c r="E17" s="3">
        <v>2</v>
      </c>
      <c r="F17" s="4">
        <v>0</v>
      </c>
      <c r="G17" s="4">
        <v>0</v>
      </c>
      <c r="H17" s="4">
        <v>0</v>
      </c>
    </row>
    <row r="18" spans="2:8" x14ac:dyDescent="0.35">
      <c r="B18" s="2">
        <v>114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2:8" x14ac:dyDescent="0.35">
      <c r="B19" s="2">
        <v>115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2:8" x14ac:dyDescent="0.35">
      <c r="B20" s="2">
        <v>116</v>
      </c>
      <c r="C20" s="3">
        <v>2</v>
      </c>
      <c r="D20" s="3">
        <v>2</v>
      </c>
      <c r="E20" s="4">
        <v>0</v>
      </c>
      <c r="F20" s="4">
        <v>0</v>
      </c>
      <c r="G20" s="4">
        <v>0</v>
      </c>
      <c r="H20" s="4">
        <v>0</v>
      </c>
    </row>
    <row r="21" spans="2:8" x14ac:dyDescent="0.35">
      <c r="B21" s="2">
        <v>117</v>
      </c>
      <c r="C21" s="3">
        <v>3</v>
      </c>
      <c r="D21" s="3">
        <v>2</v>
      </c>
      <c r="E21" s="4">
        <v>0</v>
      </c>
      <c r="F21" s="4">
        <v>0</v>
      </c>
      <c r="G21" s="4">
        <v>0</v>
      </c>
      <c r="H21" s="4">
        <v>0</v>
      </c>
    </row>
    <row r="22" spans="2:8" x14ac:dyDescent="0.35">
      <c r="B22" s="2">
        <v>118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2:8" x14ac:dyDescent="0.35">
      <c r="B23" s="2">
        <v>119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2:8" x14ac:dyDescent="0.35">
      <c r="B24" s="2">
        <v>120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2:8" x14ac:dyDescent="0.35">
      <c r="B25" s="2">
        <v>121</v>
      </c>
      <c r="C25" s="3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2:8" x14ac:dyDescent="0.35">
      <c r="B26" s="2">
        <v>122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2:8" x14ac:dyDescent="0.35">
      <c r="B27" s="2">
        <v>123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2:8" x14ac:dyDescent="0.35">
      <c r="B28" s="2">
        <v>124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2:8" x14ac:dyDescent="0.35">
      <c r="B29" s="2">
        <v>125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2:8" x14ac:dyDescent="0.35">
      <c r="B30" s="2">
        <v>126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2:8" x14ac:dyDescent="0.35">
      <c r="B31" s="2">
        <v>127</v>
      </c>
      <c r="C31" s="3">
        <v>2</v>
      </c>
      <c r="D31" s="3">
        <v>3</v>
      </c>
      <c r="E31" s="3">
        <v>1</v>
      </c>
      <c r="F31" s="3">
        <v>3</v>
      </c>
      <c r="G31" s="4">
        <v>0</v>
      </c>
      <c r="H31" s="4">
        <v>0</v>
      </c>
    </row>
    <row r="32" spans="2:8" x14ac:dyDescent="0.35">
      <c r="B32" s="2">
        <v>128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2:8" x14ac:dyDescent="0.35">
      <c r="B33" s="2">
        <v>129</v>
      </c>
      <c r="C33" s="3">
        <v>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2:8" x14ac:dyDescent="0.35">
      <c r="B34" s="2">
        <v>130</v>
      </c>
      <c r="C34" s="3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2:8" x14ac:dyDescent="0.35">
      <c r="B35" s="2">
        <v>131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2:8" x14ac:dyDescent="0.35">
      <c r="B36" s="2">
        <v>132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2:8" x14ac:dyDescent="0.35">
      <c r="B37" s="2">
        <v>133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2:8" x14ac:dyDescent="0.35">
      <c r="B38" s="2">
        <v>134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2:8" x14ac:dyDescent="0.35">
      <c r="B39" s="2">
        <v>135</v>
      </c>
      <c r="C39" s="3">
        <v>6</v>
      </c>
      <c r="D39" s="3">
        <v>6</v>
      </c>
      <c r="E39" s="4">
        <v>0</v>
      </c>
      <c r="F39" s="4">
        <v>0</v>
      </c>
      <c r="G39" s="4">
        <v>0</v>
      </c>
      <c r="H39" s="4">
        <v>0</v>
      </c>
    </row>
    <row r="40" spans="2:8" x14ac:dyDescent="0.35">
      <c r="B40" s="2">
        <v>136</v>
      </c>
      <c r="C40" s="4">
        <v>0</v>
      </c>
      <c r="D40" s="3">
        <v>5</v>
      </c>
      <c r="E40" s="4">
        <v>0</v>
      </c>
      <c r="F40" s="4">
        <v>0</v>
      </c>
      <c r="G40" s="4">
        <v>0</v>
      </c>
      <c r="H40" s="4">
        <v>0</v>
      </c>
    </row>
    <row r="41" spans="2:8" x14ac:dyDescent="0.35">
      <c r="B41" s="2">
        <v>137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2:8" x14ac:dyDescent="0.35">
      <c r="B42" s="2">
        <v>138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2:8" x14ac:dyDescent="0.35">
      <c r="B43" s="2">
        <v>139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2:8" x14ac:dyDescent="0.35">
      <c r="B44" s="2">
        <v>140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2:8" x14ac:dyDescent="0.35">
      <c r="B45" s="2">
        <v>141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2:8" x14ac:dyDescent="0.35">
      <c r="B46" s="2">
        <v>142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2:8" x14ac:dyDescent="0.35">
      <c r="B47" s="2">
        <v>143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2:8" x14ac:dyDescent="0.35">
      <c r="B48" s="2">
        <v>144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2:8" x14ac:dyDescent="0.35">
      <c r="B49" s="2">
        <v>145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2:8" x14ac:dyDescent="0.35">
      <c r="B50" s="2">
        <v>146</v>
      </c>
      <c r="C50" s="3">
        <v>1</v>
      </c>
      <c r="D50" s="3">
        <v>4</v>
      </c>
      <c r="E50" s="4">
        <v>0</v>
      </c>
      <c r="F50" s="3">
        <v>4</v>
      </c>
      <c r="G50" s="4">
        <v>0</v>
      </c>
      <c r="H50" s="4">
        <v>0</v>
      </c>
    </row>
    <row r="51" spans="2:8" x14ac:dyDescent="0.35">
      <c r="B51" s="2">
        <v>147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2:8" x14ac:dyDescent="0.35">
      <c r="B52" s="2">
        <v>148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2:8" x14ac:dyDescent="0.35">
      <c r="B53" s="2">
        <v>149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2:8" x14ac:dyDescent="0.35">
      <c r="B54" s="2">
        <v>150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2:8" x14ac:dyDescent="0.35">
      <c r="B55" s="2">
        <v>151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2:8" x14ac:dyDescent="0.35">
      <c r="B56" s="2">
        <v>152</v>
      </c>
      <c r="C56" s="4">
        <v>0</v>
      </c>
      <c r="D56" s="3">
        <v>4</v>
      </c>
      <c r="E56" s="4">
        <v>0</v>
      </c>
      <c r="F56" s="4">
        <v>0</v>
      </c>
      <c r="G56" s="4">
        <v>0</v>
      </c>
      <c r="H56" s="4">
        <v>0</v>
      </c>
    </row>
    <row r="57" spans="2:8" x14ac:dyDescent="0.35">
      <c r="B57" s="2">
        <v>153</v>
      </c>
      <c r="C57" s="4">
        <v>0</v>
      </c>
      <c r="D57" s="4">
        <v>0</v>
      </c>
      <c r="E57" s="4">
        <v>0</v>
      </c>
      <c r="F57" s="3">
        <v>1</v>
      </c>
      <c r="G57" s="4">
        <v>0</v>
      </c>
      <c r="H57" s="4">
        <v>0</v>
      </c>
    </row>
    <row r="58" spans="2:8" x14ac:dyDescent="0.35">
      <c r="B58" s="2">
        <v>154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2:8" x14ac:dyDescent="0.35">
      <c r="B59" s="2">
        <v>155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2:8" x14ac:dyDescent="0.35">
      <c r="B60" s="2">
        <v>156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2:8" x14ac:dyDescent="0.35">
      <c r="B61" s="2">
        <v>157</v>
      </c>
      <c r="C61" s="3">
        <v>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2:8" x14ac:dyDescent="0.35">
      <c r="B62" s="2">
        <v>158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2:8" x14ac:dyDescent="0.35">
      <c r="B63" s="2">
        <v>159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2:8" x14ac:dyDescent="0.35">
      <c r="B64" s="2">
        <v>160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2:8" x14ac:dyDescent="0.35">
      <c r="B65" s="2">
        <v>161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2:8" ht="28.5" customHeight="1" x14ac:dyDescent="0.35">
      <c r="B66" s="2">
        <v>162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2:8" x14ac:dyDescent="0.35">
      <c r="B67" s="2">
        <v>163</v>
      </c>
      <c r="C67" s="3">
        <v>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2:8" x14ac:dyDescent="0.35">
      <c r="B68" s="2">
        <v>164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2:8" x14ac:dyDescent="0.35">
      <c r="B69" s="2">
        <v>165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2:8" x14ac:dyDescent="0.35">
      <c r="B70" s="2">
        <v>166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2:8" x14ac:dyDescent="0.35">
      <c r="B71" s="2">
        <v>167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2:8" x14ac:dyDescent="0.35">
      <c r="B72" s="2">
        <v>168</v>
      </c>
      <c r="C72" s="4">
        <v>0</v>
      </c>
      <c r="D72" s="3">
        <v>6</v>
      </c>
      <c r="E72" s="4">
        <v>0</v>
      </c>
      <c r="F72" s="4">
        <v>0</v>
      </c>
      <c r="G72" s="4">
        <v>0</v>
      </c>
      <c r="H72" s="4">
        <v>0</v>
      </c>
    </row>
    <row r="73" spans="2:8" x14ac:dyDescent="0.35">
      <c r="B73" s="2">
        <v>169</v>
      </c>
      <c r="C73" s="3">
        <v>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2:8" x14ac:dyDescent="0.35">
      <c r="B74" s="2">
        <v>170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2:8" x14ac:dyDescent="0.35">
      <c r="B75" s="2">
        <v>171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2:8" x14ac:dyDescent="0.35">
      <c r="B76" s="2">
        <v>172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2:8" x14ac:dyDescent="0.35">
      <c r="B77" s="2">
        <v>173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2:8" x14ac:dyDescent="0.35">
      <c r="B78" s="2">
        <v>174</v>
      </c>
      <c r="C78" s="4">
        <v>0</v>
      </c>
      <c r="D78" s="4">
        <v>0</v>
      </c>
      <c r="E78" s="3">
        <v>3</v>
      </c>
      <c r="F78" s="4">
        <v>0</v>
      </c>
      <c r="G78" s="4">
        <v>0</v>
      </c>
      <c r="H78" s="4">
        <v>0</v>
      </c>
    </row>
    <row r="79" spans="2:8" x14ac:dyDescent="0.35">
      <c r="B79" s="2">
        <v>175</v>
      </c>
      <c r="C79" s="4">
        <v>0</v>
      </c>
      <c r="D79" s="3">
        <v>1</v>
      </c>
      <c r="E79" s="4">
        <v>0</v>
      </c>
      <c r="F79" s="3">
        <v>1</v>
      </c>
      <c r="G79" s="4">
        <v>0</v>
      </c>
      <c r="H79" s="4">
        <v>0</v>
      </c>
    </row>
    <row r="80" spans="2:8" x14ac:dyDescent="0.35">
      <c r="B80" s="2">
        <v>176</v>
      </c>
      <c r="C80" s="3">
        <v>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2:8" x14ac:dyDescent="0.35">
      <c r="B81" s="2">
        <v>177</v>
      </c>
      <c r="C81" s="4">
        <v>0</v>
      </c>
      <c r="D81" s="4">
        <v>0</v>
      </c>
      <c r="E81" s="3">
        <v>3</v>
      </c>
      <c r="F81" s="4">
        <v>0</v>
      </c>
      <c r="G81" s="4">
        <v>0</v>
      </c>
      <c r="H81" s="4">
        <v>0</v>
      </c>
    </row>
    <row r="82" spans="2:8" x14ac:dyDescent="0.35">
      <c r="B82" s="2">
        <v>178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2:8" x14ac:dyDescent="0.35">
      <c r="B83" s="2">
        <v>179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2:8" x14ac:dyDescent="0.35">
      <c r="B84" s="2">
        <v>180</v>
      </c>
      <c r="C84" s="4">
        <v>0</v>
      </c>
      <c r="D84" s="3">
        <v>3</v>
      </c>
      <c r="E84" s="4">
        <v>0</v>
      </c>
      <c r="F84" s="4">
        <v>0</v>
      </c>
      <c r="G84" s="4">
        <v>0</v>
      </c>
      <c r="H84" s="4">
        <v>0</v>
      </c>
    </row>
    <row r="85" spans="2:8" x14ac:dyDescent="0.35">
      <c r="B85" s="2">
        <v>181</v>
      </c>
      <c r="C85" s="3">
        <v>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2:8" x14ac:dyDescent="0.35">
      <c r="B86" s="2">
        <v>182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2:8" x14ac:dyDescent="0.35">
      <c r="B87" s="2">
        <v>183</v>
      </c>
      <c r="C87" s="4">
        <v>0</v>
      </c>
      <c r="D87" s="4">
        <v>0</v>
      </c>
      <c r="E87" s="3">
        <v>2</v>
      </c>
      <c r="F87" s="4">
        <v>0</v>
      </c>
      <c r="G87" s="4">
        <v>0</v>
      </c>
      <c r="H87" s="4">
        <v>0</v>
      </c>
    </row>
    <row r="88" spans="2:8" x14ac:dyDescent="0.35">
      <c r="B88" s="2">
        <v>184</v>
      </c>
      <c r="C88" s="3">
        <v>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2:8" x14ac:dyDescent="0.35">
      <c r="B89" s="2">
        <v>185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2:8" x14ac:dyDescent="0.35">
      <c r="B90" s="2">
        <v>186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2:8" x14ac:dyDescent="0.35">
      <c r="B91" s="2">
        <v>187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2:8" x14ac:dyDescent="0.35">
      <c r="B92" s="2">
        <v>188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2:8" x14ac:dyDescent="0.35">
      <c r="B93" s="2">
        <v>189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2:8" x14ac:dyDescent="0.35">
      <c r="B94" s="2">
        <v>190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2:8" x14ac:dyDescent="0.35">
      <c r="B95" s="2">
        <v>191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2:8" x14ac:dyDescent="0.35">
      <c r="B96" s="2">
        <v>192</v>
      </c>
      <c r="C96" s="3">
        <v>12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2:8" x14ac:dyDescent="0.35">
      <c r="B97" s="2">
        <v>193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2:8" x14ac:dyDescent="0.35">
      <c r="B98" s="2">
        <v>194</v>
      </c>
      <c r="C98" s="3">
        <v>2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</row>
    <row r="99" spans="2:8" x14ac:dyDescent="0.35">
      <c r="B99" s="2">
        <v>195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</row>
    <row r="100" spans="2:8" x14ac:dyDescent="0.35">
      <c r="B100" s="2">
        <v>196</v>
      </c>
      <c r="C100" s="3">
        <v>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</row>
    <row r="101" spans="2:8" x14ac:dyDescent="0.35">
      <c r="B101" s="2">
        <v>197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</row>
    <row r="102" spans="2:8" x14ac:dyDescent="0.35">
      <c r="B102" s="2">
        <v>198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</row>
    <row r="103" spans="2:8" x14ac:dyDescent="0.35">
      <c r="B103" s="2">
        <v>199</v>
      </c>
      <c r="C103" s="3">
        <v>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</row>
    <row r="104" spans="2:8" x14ac:dyDescent="0.35">
      <c r="B104" s="2">
        <v>200</v>
      </c>
      <c r="C104" s="3">
        <v>4</v>
      </c>
      <c r="D104" s="3">
        <v>1</v>
      </c>
      <c r="E104" s="3">
        <v>2</v>
      </c>
      <c r="F104" s="4">
        <v>0</v>
      </c>
      <c r="G104" s="4">
        <v>0</v>
      </c>
      <c r="H104" s="4">
        <v>0</v>
      </c>
    </row>
    <row r="105" spans="2:8" x14ac:dyDescent="0.35">
      <c r="B105" s="2">
        <v>201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</row>
    <row r="106" spans="2:8" x14ac:dyDescent="0.35">
      <c r="B106" s="2">
        <v>202</v>
      </c>
      <c r="C106" s="4">
        <v>0</v>
      </c>
      <c r="D106" s="3">
        <v>1</v>
      </c>
      <c r="E106" s="4">
        <v>0</v>
      </c>
      <c r="F106" s="4">
        <v>0</v>
      </c>
      <c r="G106" s="4">
        <v>0</v>
      </c>
      <c r="H106" s="4">
        <v>0</v>
      </c>
    </row>
    <row r="107" spans="2:8" x14ac:dyDescent="0.35">
      <c r="B107" s="2">
        <v>203</v>
      </c>
      <c r="C107" s="4">
        <v>0</v>
      </c>
      <c r="D107" s="3">
        <v>2</v>
      </c>
      <c r="E107" s="4">
        <v>0</v>
      </c>
      <c r="F107" s="4">
        <v>0</v>
      </c>
      <c r="G107" s="4">
        <v>0</v>
      </c>
      <c r="H107" s="4">
        <v>0</v>
      </c>
    </row>
    <row r="108" spans="2:8" x14ac:dyDescent="0.35">
      <c r="B108" s="2">
        <v>204</v>
      </c>
      <c r="C108" s="3">
        <v>2</v>
      </c>
      <c r="D108" s="3">
        <v>2</v>
      </c>
      <c r="E108" s="4">
        <v>0</v>
      </c>
      <c r="F108" s="4">
        <v>0</v>
      </c>
      <c r="G108" s="3">
        <v>1</v>
      </c>
      <c r="H108" s="4">
        <v>0</v>
      </c>
    </row>
    <row r="109" spans="2:8" x14ac:dyDescent="0.35">
      <c r="B109" s="2">
        <v>205</v>
      </c>
      <c r="C109" s="4">
        <v>0</v>
      </c>
      <c r="D109" s="3">
        <v>2</v>
      </c>
      <c r="E109" s="4">
        <v>0</v>
      </c>
      <c r="F109" s="4">
        <v>0</v>
      </c>
      <c r="G109" s="4">
        <v>0</v>
      </c>
      <c r="H109" s="4">
        <v>0</v>
      </c>
    </row>
    <row r="110" spans="2:8" x14ac:dyDescent="0.35">
      <c r="B110" s="2">
        <v>206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2:8" x14ac:dyDescent="0.35">
      <c r="B111" s="2">
        <v>207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2:8" x14ac:dyDescent="0.35">
      <c r="B112" s="2">
        <v>208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2:8" x14ac:dyDescent="0.35">
      <c r="B113" s="2">
        <v>209</v>
      </c>
      <c r="C113" s="3">
        <v>6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2:8" x14ac:dyDescent="0.35">
      <c r="B114" s="2">
        <v>210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2:8" x14ac:dyDescent="0.35">
      <c r="B115" s="2">
        <v>211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2:8" x14ac:dyDescent="0.35">
      <c r="B116" s="2">
        <v>212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2:8" x14ac:dyDescent="0.35">
      <c r="B117" s="2">
        <v>213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2:8" x14ac:dyDescent="0.35">
      <c r="B118" s="2">
        <v>214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2:8" x14ac:dyDescent="0.35">
      <c r="B119" s="2">
        <v>215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2:8" x14ac:dyDescent="0.35">
      <c r="B120" s="2">
        <v>216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2:8" x14ac:dyDescent="0.35">
      <c r="B121" s="2">
        <v>217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2:8" x14ac:dyDescent="0.35">
      <c r="B122" s="2">
        <v>218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</row>
    <row r="123" spans="2:8" x14ac:dyDescent="0.35">
      <c r="B123" s="2">
        <v>219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</row>
    <row r="124" spans="2:8" x14ac:dyDescent="0.35">
      <c r="B124" s="2">
        <v>220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</row>
    <row r="125" spans="2:8" x14ac:dyDescent="0.35">
      <c r="B125" s="2">
        <v>221</v>
      </c>
      <c r="C125" s="4">
        <v>0</v>
      </c>
      <c r="D125" s="4">
        <v>0</v>
      </c>
      <c r="E125" s="3">
        <v>4</v>
      </c>
      <c r="F125" s="4">
        <v>0</v>
      </c>
      <c r="G125" s="4">
        <v>0</v>
      </c>
      <c r="H125" s="4">
        <v>0</v>
      </c>
    </row>
    <row r="126" spans="2:8" x14ac:dyDescent="0.35">
      <c r="B126" s="2">
        <v>222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</row>
    <row r="127" spans="2:8" x14ac:dyDescent="0.35">
      <c r="B127" s="2">
        <v>223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</row>
    <row r="128" spans="2:8" x14ac:dyDescent="0.35">
      <c r="B128" s="2">
        <v>224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</row>
    <row r="129" spans="2:8" x14ac:dyDescent="0.35">
      <c r="B129" s="2">
        <v>225</v>
      </c>
      <c r="C129" s="4">
        <v>0</v>
      </c>
      <c r="D129" s="3">
        <v>1</v>
      </c>
      <c r="E129" s="4">
        <v>0</v>
      </c>
      <c r="F129" s="4">
        <v>0</v>
      </c>
      <c r="G129" s="4">
        <v>0</v>
      </c>
      <c r="H129" s="4">
        <v>0</v>
      </c>
    </row>
    <row r="130" spans="2:8" x14ac:dyDescent="0.35">
      <c r="B130" s="2">
        <v>226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</row>
    <row r="131" spans="2:8" x14ac:dyDescent="0.35">
      <c r="B131" s="2">
        <v>227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</row>
    <row r="132" spans="2:8" x14ac:dyDescent="0.35">
      <c r="B132" s="2">
        <v>228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2:8" x14ac:dyDescent="0.35">
      <c r="B133" s="2">
        <v>229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</row>
    <row r="134" spans="2:8" x14ac:dyDescent="0.35">
      <c r="B134" s="2">
        <v>230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</row>
    <row r="135" spans="2:8" x14ac:dyDescent="0.35">
      <c r="B135" s="2">
        <v>231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</row>
    <row r="136" spans="2:8" x14ac:dyDescent="0.35">
      <c r="B136" s="2">
        <v>232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</row>
    <row r="137" spans="2:8" x14ac:dyDescent="0.35">
      <c r="B137" s="2">
        <v>233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</row>
    <row r="138" spans="2:8" x14ac:dyDescent="0.35">
      <c r="B138" s="2">
        <v>234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</row>
    <row r="139" spans="2:8" x14ac:dyDescent="0.35">
      <c r="B139" s="2">
        <v>235</v>
      </c>
      <c r="C139" s="4">
        <v>0</v>
      </c>
      <c r="D139" s="4">
        <v>0</v>
      </c>
      <c r="E139" s="4">
        <v>0</v>
      </c>
      <c r="F139" s="3">
        <v>2</v>
      </c>
      <c r="G139" s="4">
        <v>0</v>
      </c>
      <c r="H139" s="4">
        <v>0</v>
      </c>
    </row>
    <row r="140" spans="2:8" x14ac:dyDescent="0.35">
      <c r="B140" s="2">
        <v>236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</row>
    <row r="141" spans="2:8" x14ac:dyDescent="0.35">
      <c r="B141" s="2">
        <v>237</v>
      </c>
      <c r="C141" s="4">
        <v>0</v>
      </c>
      <c r="D141" s="3">
        <v>1</v>
      </c>
      <c r="E141" s="4">
        <v>0</v>
      </c>
      <c r="F141" s="3">
        <v>2</v>
      </c>
      <c r="G141" s="4">
        <v>0</v>
      </c>
      <c r="H141" s="4">
        <v>0</v>
      </c>
    </row>
    <row r="142" spans="2:8" x14ac:dyDescent="0.35">
      <c r="B142" s="2">
        <v>238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</row>
    <row r="143" spans="2:8" x14ac:dyDescent="0.35">
      <c r="B143" s="2">
        <v>239</v>
      </c>
      <c r="C143" s="3">
        <v>1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</row>
    <row r="144" spans="2:8" x14ac:dyDescent="0.35">
      <c r="B144" s="2">
        <v>240</v>
      </c>
      <c r="C144" s="4">
        <v>0</v>
      </c>
      <c r="D144" s="3">
        <v>2</v>
      </c>
      <c r="E144" s="3">
        <v>1</v>
      </c>
      <c r="F144" s="3">
        <v>2</v>
      </c>
      <c r="G144" s="4">
        <v>0</v>
      </c>
      <c r="H144" s="4">
        <v>0</v>
      </c>
    </row>
    <row r="145" spans="2:8" x14ac:dyDescent="0.35">
      <c r="B145" s="2">
        <v>241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</row>
    <row r="146" spans="2:8" x14ac:dyDescent="0.35">
      <c r="B146" s="2">
        <v>242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</row>
    <row r="147" spans="2:8" x14ac:dyDescent="0.35">
      <c r="B147" s="2">
        <v>243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</row>
    <row r="148" spans="2:8" x14ac:dyDescent="0.35">
      <c r="B148" s="2">
        <v>244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</row>
    <row r="149" spans="2:8" x14ac:dyDescent="0.35">
      <c r="B149" s="2">
        <v>245</v>
      </c>
      <c r="C149" s="3">
        <v>4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</row>
    <row r="150" spans="2:8" x14ac:dyDescent="0.35">
      <c r="B150" s="2">
        <v>246</v>
      </c>
      <c r="C150" s="3">
        <v>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</row>
    <row r="151" spans="2:8" x14ac:dyDescent="0.35">
      <c r="B151" s="2">
        <v>247</v>
      </c>
      <c r="C151" s="4">
        <v>0</v>
      </c>
      <c r="D151" s="4">
        <v>0</v>
      </c>
      <c r="E151" s="4">
        <v>0</v>
      </c>
      <c r="F151" s="4">
        <v>0</v>
      </c>
      <c r="G151" s="3">
        <v>2</v>
      </c>
      <c r="H151" s="4">
        <v>0</v>
      </c>
    </row>
    <row r="152" spans="2:8" x14ac:dyDescent="0.35">
      <c r="B152" s="2">
        <v>248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</row>
    <row r="153" spans="2:8" x14ac:dyDescent="0.35">
      <c r="B153" s="2">
        <v>249</v>
      </c>
      <c r="C153" s="4">
        <v>0</v>
      </c>
      <c r="D153" s="3">
        <v>6</v>
      </c>
      <c r="E153" s="4">
        <v>0</v>
      </c>
      <c r="F153" s="4">
        <v>0</v>
      </c>
      <c r="G153" s="4">
        <v>0</v>
      </c>
      <c r="H153" s="4">
        <v>0</v>
      </c>
    </row>
    <row r="154" spans="2:8" x14ac:dyDescent="0.35">
      <c r="B154" s="2">
        <v>250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</row>
    <row r="155" spans="2:8" x14ac:dyDescent="0.35">
      <c r="B155" s="2">
        <v>251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</row>
    <row r="156" spans="2:8" x14ac:dyDescent="0.35">
      <c r="B156" s="2">
        <v>252</v>
      </c>
      <c r="C156" s="4">
        <v>0</v>
      </c>
      <c r="D156" s="3">
        <v>6</v>
      </c>
      <c r="E156" s="4">
        <v>0</v>
      </c>
      <c r="F156" s="4">
        <v>0</v>
      </c>
      <c r="G156" s="4">
        <v>0</v>
      </c>
      <c r="H156" s="4">
        <v>0</v>
      </c>
    </row>
    <row r="157" spans="2:8" x14ac:dyDescent="0.35">
      <c r="B157" s="2">
        <v>253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</row>
    <row r="158" spans="2:8" x14ac:dyDescent="0.35">
      <c r="B158" s="2">
        <v>254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</row>
    <row r="159" spans="2:8" x14ac:dyDescent="0.35">
      <c r="B159" s="2">
        <v>255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</row>
    <row r="160" spans="2:8" x14ac:dyDescent="0.35">
      <c r="B160" s="2">
        <v>256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</row>
    <row r="161" spans="2:8" x14ac:dyDescent="0.35">
      <c r="B161" s="2">
        <v>257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</row>
    <row r="162" spans="2:8" x14ac:dyDescent="0.35">
      <c r="B162" s="2">
        <v>258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</row>
    <row r="163" spans="2:8" x14ac:dyDescent="0.35">
      <c r="B163" s="2">
        <v>259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</row>
    <row r="164" spans="2:8" x14ac:dyDescent="0.35">
      <c r="B164" s="2">
        <v>260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</row>
    <row r="165" spans="2:8" x14ac:dyDescent="0.35">
      <c r="B165" s="2">
        <v>261</v>
      </c>
      <c r="C165" s="3">
        <v>2</v>
      </c>
      <c r="D165" s="4">
        <v>0</v>
      </c>
      <c r="E165" s="3">
        <v>1</v>
      </c>
      <c r="F165" s="3">
        <v>1</v>
      </c>
      <c r="G165" s="4">
        <v>0</v>
      </c>
      <c r="H165" s="4">
        <v>0</v>
      </c>
    </row>
    <row r="166" spans="2:8" x14ac:dyDescent="0.35">
      <c r="B166" s="2">
        <v>262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</row>
    <row r="167" spans="2:8" x14ac:dyDescent="0.35">
      <c r="B167" s="2">
        <v>263</v>
      </c>
      <c r="C167" s="3">
        <v>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</row>
    <row r="168" spans="2:8" x14ac:dyDescent="0.35">
      <c r="B168" s="2">
        <v>264</v>
      </c>
      <c r="C168" s="4">
        <v>0</v>
      </c>
      <c r="D168" s="4">
        <v>0</v>
      </c>
      <c r="E168" s="4">
        <v>0</v>
      </c>
      <c r="F168" s="3">
        <v>2</v>
      </c>
      <c r="G168" s="4">
        <v>0</v>
      </c>
      <c r="H168" s="4">
        <v>0</v>
      </c>
    </row>
    <row r="169" spans="2:8" x14ac:dyDescent="0.35">
      <c r="B169" s="2">
        <v>265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2:8" x14ac:dyDescent="0.35">
      <c r="B170" s="2">
        <v>266</v>
      </c>
      <c r="C170" s="3">
        <v>3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</row>
    <row r="171" spans="2:8" x14ac:dyDescent="0.35">
      <c r="B171" s="2">
        <v>267</v>
      </c>
      <c r="C171" s="3">
        <v>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</row>
    <row r="172" spans="2:8" x14ac:dyDescent="0.35">
      <c r="B172" s="2">
        <v>268</v>
      </c>
      <c r="C172" s="4">
        <v>0</v>
      </c>
      <c r="D172" s="4">
        <v>0</v>
      </c>
      <c r="E172" s="3">
        <v>2</v>
      </c>
      <c r="F172" s="4">
        <v>0</v>
      </c>
      <c r="G172" s="4">
        <v>0</v>
      </c>
      <c r="H172" s="4"/>
    </row>
    <row r="173" spans="2:8" x14ac:dyDescent="0.35">
      <c r="B173" s="2">
        <v>269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</row>
    <row r="174" spans="2:8" x14ac:dyDescent="0.35">
      <c r="B174" s="2">
        <v>270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</row>
    <row r="175" spans="2:8" x14ac:dyDescent="0.35">
      <c r="B175" s="2">
        <v>271</v>
      </c>
      <c r="C175" s="4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35">
      <c r="B176" s="2">
        <v>272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</row>
    <row r="177" spans="2:8" x14ac:dyDescent="0.35">
      <c r="B177" s="2">
        <v>273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</row>
    <row r="178" spans="2:8" x14ac:dyDescent="0.35">
      <c r="B178" s="2">
        <v>274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</row>
    <row r="179" spans="2:8" x14ac:dyDescent="0.35">
      <c r="B179" s="2">
        <v>275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</row>
    <row r="180" spans="2:8" x14ac:dyDescent="0.35">
      <c r="B180" s="2">
        <v>276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2:8" x14ac:dyDescent="0.35">
      <c r="B181" s="2">
        <v>277</v>
      </c>
      <c r="C181" s="4"/>
      <c r="D181" s="4"/>
      <c r="E181" s="4"/>
      <c r="F181" s="4"/>
      <c r="G181" s="4"/>
      <c r="H181" s="4"/>
    </row>
    <row r="182" spans="2:8" x14ac:dyDescent="0.35">
      <c r="B182" s="2">
        <v>278</v>
      </c>
      <c r="C182" s="4"/>
      <c r="D182" s="4"/>
      <c r="E182" s="4"/>
      <c r="F182" s="4"/>
      <c r="G182" s="4"/>
      <c r="H182" s="4"/>
    </row>
    <row r="183" spans="2:8" x14ac:dyDescent="0.35">
      <c r="B183" s="2">
        <v>279</v>
      </c>
      <c r="C183" s="4"/>
      <c r="D183" s="4"/>
      <c r="E183" s="4"/>
      <c r="F183" s="4"/>
      <c r="G183" s="4"/>
      <c r="H183" s="4"/>
    </row>
    <row r="184" spans="2:8" x14ac:dyDescent="0.35">
      <c r="B184" s="2">
        <v>280</v>
      </c>
      <c r="C184" s="4"/>
      <c r="D184" s="4"/>
      <c r="E184" s="4"/>
      <c r="F184" s="4"/>
      <c r="G184" s="4"/>
      <c r="H184" s="4"/>
    </row>
    <row r="185" spans="2:8" x14ac:dyDescent="0.35">
      <c r="B185" s="2">
        <v>281</v>
      </c>
      <c r="C185" s="4"/>
      <c r="D185" s="4"/>
      <c r="E185" s="4"/>
      <c r="F185" s="4"/>
      <c r="G185" s="4"/>
      <c r="H185" s="4"/>
    </row>
    <row r="186" spans="2:8" x14ac:dyDescent="0.35">
      <c r="B186" s="2">
        <v>282</v>
      </c>
      <c r="C186" s="4"/>
      <c r="D186" s="4"/>
      <c r="E186" s="4"/>
      <c r="F186" s="4"/>
      <c r="G186" s="4"/>
      <c r="H186" s="4"/>
    </row>
    <row r="187" spans="2:8" x14ac:dyDescent="0.35">
      <c r="B187" s="2">
        <v>283</v>
      </c>
      <c r="C187" s="4"/>
      <c r="D187" s="4"/>
      <c r="E187" s="4"/>
      <c r="F187" s="4"/>
      <c r="G187" s="4"/>
      <c r="H187" s="4"/>
    </row>
    <row r="188" spans="2:8" x14ac:dyDescent="0.35">
      <c r="B188" s="2">
        <v>284</v>
      </c>
      <c r="C188" s="4"/>
      <c r="D188" s="4"/>
      <c r="E188" s="4"/>
      <c r="F188" s="4"/>
      <c r="G188" s="4"/>
      <c r="H188" s="4"/>
    </row>
    <row r="189" spans="2:8" x14ac:dyDescent="0.35">
      <c r="B189" s="2">
        <v>285</v>
      </c>
      <c r="C189" s="4"/>
      <c r="D189" s="4"/>
      <c r="E189" s="4"/>
      <c r="F189" s="4"/>
      <c r="G189" s="4"/>
      <c r="H189" s="4"/>
    </row>
    <row r="190" spans="2:8" x14ac:dyDescent="0.35">
      <c r="B190" s="2">
        <v>286</v>
      </c>
      <c r="C190" s="4"/>
      <c r="D190" s="4"/>
      <c r="E190" s="4"/>
      <c r="F190" s="4"/>
      <c r="G190" s="4"/>
      <c r="H190" s="4"/>
    </row>
    <row r="191" spans="2:8" x14ac:dyDescent="0.35">
      <c r="B191" s="2">
        <v>287</v>
      </c>
      <c r="C191" s="4"/>
      <c r="D191" s="4"/>
      <c r="E191" s="4"/>
      <c r="F191" s="4"/>
      <c r="G191" s="4"/>
      <c r="H191" s="4"/>
    </row>
    <row r="192" spans="2:8" x14ac:dyDescent="0.35">
      <c r="B192" s="2">
        <v>288</v>
      </c>
      <c r="C192" s="4"/>
      <c r="D192" s="4"/>
      <c r="E192" s="4"/>
      <c r="F192" s="4"/>
      <c r="G192" s="4"/>
      <c r="H192" s="4"/>
    </row>
    <row r="193" spans="1:8" x14ac:dyDescent="0.35">
      <c r="B193" s="2">
        <v>289</v>
      </c>
      <c r="C193" s="4"/>
      <c r="D193" s="4"/>
      <c r="E193" s="4"/>
      <c r="F193" s="4"/>
      <c r="G193" s="4"/>
      <c r="H193" s="4"/>
    </row>
    <row r="194" spans="1:8" x14ac:dyDescent="0.35">
      <c r="B194" s="2">
        <v>290</v>
      </c>
      <c r="C194" s="4"/>
      <c r="D194" s="4"/>
      <c r="E194" s="4"/>
      <c r="F194" s="4"/>
      <c r="G194" s="4"/>
      <c r="H194" s="4"/>
    </row>
    <row r="195" spans="1:8" x14ac:dyDescent="0.35">
      <c r="B195" s="2">
        <v>291</v>
      </c>
      <c r="C195" s="4"/>
      <c r="D195" s="4"/>
      <c r="E195" s="4"/>
      <c r="F195" s="4"/>
      <c r="G195" s="4"/>
      <c r="H195" s="4"/>
    </row>
    <row r="196" spans="1:8" x14ac:dyDescent="0.35">
      <c r="B196" s="2">
        <v>292</v>
      </c>
      <c r="C196" s="4"/>
      <c r="D196" s="4"/>
      <c r="E196" s="4"/>
      <c r="F196" s="4"/>
      <c r="G196" s="4"/>
      <c r="H196" s="4"/>
    </row>
    <row r="197" spans="1:8" x14ac:dyDescent="0.35">
      <c r="B197" s="2">
        <v>293</v>
      </c>
      <c r="C197" s="4"/>
      <c r="D197" s="4"/>
      <c r="E197" s="4"/>
      <c r="F197" s="4"/>
      <c r="G197" s="4"/>
      <c r="H197" s="4"/>
    </row>
    <row r="198" spans="1:8" x14ac:dyDescent="0.35">
      <c r="B198" s="2">
        <v>294</v>
      </c>
      <c r="C198" s="4"/>
      <c r="D198" s="4"/>
      <c r="E198" s="4"/>
      <c r="F198" s="4"/>
      <c r="G198" s="4"/>
      <c r="H198" s="4"/>
    </row>
    <row r="199" spans="1:8" x14ac:dyDescent="0.35">
      <c r="B199" s="2">
        <v>295</v>
      </c>
      <c r="C199" s="4"/>
      <c r="D199" s="4"/>
      <c r="E199" s="4"/>
      <c r="F199" s="4"/>
      <c r="G199" s="4"/>
      <c r="H199" s="4"/>
    </row>
    <row r="200" spans="1:8" x14ac:dyDescent="0.35">
      <c r="B200" s="2">
        <v>296</v>
      </c>
      <c r="C200" s="4"/>
      <c r="D200" s="4"/>
      <c r="E200" s="4"/>
      <c r="F200" s="4"/>
      <c r="G200" s="4"/>
      <c r="H200" s="4"/>
    </row>
    <row r="201" spans="1:8" x14ac:dyDescent="0.35">
      <c r="B201" s="2">
        <v>297</v>
      </c>
      <c r="C201" s="4"/>
      <c r="D201" s="4"/>
      <c r="E201" s="4"/>
      <c r="F201" s="4"/>
      <c r="G201" s="4"/>
      <c r="H201" s="4"/>
    </row>
    <row r="202" spans="1:8" x14ac:dyDescent="0.35">
      <c r="A202" s="21" t="s">
        <v>1</v>
      </c>
      <c r="B202" s="21"/>
      <c r="C202" s="6">
        <f t="shared" ref="C202:H202" si="0">SUM(C4:C201)</f>
        <v>119</v>
      </c>
      <c r="D202" s="6">
        <f t="shared" si="0"/>
        <v>83</v>
      </c>
      <c r="E202" s="6">
        <f t="shared" si="0"/>
        <v>21</v>
      </c>
      <c r="F202" s="6">
        <f t="shared" si="0"/>
        <v>23</v>
      </c>
      <c r="G202" s="6">
        <f t="shared" si="0"/>
        <v>3</v>
      </c>
      <c r="H202" s="6">
        <f t="shared" si="0"/>
        <v>0</v>
      </c>
    </row>
    <row r="203" spans="1:8" x14ac:dyDescent="0.35">
      <c r="A203" t="s">
        <v>29</v>
      </c>
      <c r="B203">
        <v>1</v>
      </c>
      <c r="C203">
        <f t="shared" ref="C203:C227" si="1">COUNTIF($C$4:$C$201, $B203)</f>
        <v>3</v>
      </c>
      <c r="D203">
        <f t="shared" ref="D203:D227" si="2">COUNTIF($D$4:$D$201, $B203)</f>
        <v>6</v>
      </c>
      <c r="E203">
        <f t="shared" ref="E203:E226" si="3">COUNTIF($E$4:$E$201, $B203)</f>
        <v>3</v>
      </c>
      <c r="F203">
        <f t="shared" ref="F203:F225" si="4">COUNTIF($F$4:$F$201, $B203)</f>
        <v>4</v>
      </c>
      <c r="G203">
        <f t="shared" ref="G203:G227" si="5">COUNTIF($G$4:$G$201, $B203)</f>
        <v>1</v>
      </c>
      <c r="H203">
        <f t="shared" ref="H203:H227" si="6">COUNTIF($H$4:$H$201, $B203)</f>
        <v>0</v>
      </c>
    </row>
    <row r="204" spans="1:8" x14ac:dyDescent="0.35">
      <c r="A204" t="s">
        <v>29</v>
      </c>
      <c r="B204">
        <v>2</v>
      </c>
      <c r="C204">
        <f t="shared" si="1"/>
        <v>9</v>
      </c>
      <c r="D204">
        <f t="shared" si="2"/>
        <v>7</v>
      </c>
      <c r="E204">
        <f t="shared" si="3"/>
        <v>4</v>
      </c>
      <c r="F204">
        <f t="shared" si="4"/>
        <v>6</v>
      </c>
      <c r="G204">
        <f t="shared" si="5"/>
        <v>1</v>
      </c>
      <c r="H204">
        <f t="shared" si="6"/>
        <v>0</v>
      </c>
    </row>
    <row r="205" spans="1:8" x14ac:dyDescent="0.35">
      <c r="A205" t="s">
        <v>29</v>
      </c>
      <c r="B205">
        <v>3</v>
      </c>
      <c r="C205">
        <f t="shared" si="1"/>
        <v>5</v>
      </c>
      <c r="D205">
        <f t="shared" si="2"/>
        <v>2</v>
      </c>
      <c r="E205">
        <f t="shared" si="3"/>
        <v>2</v>
      </c>
      <c r="F205">
        <f t="shared" si="4"/>
        <v>1</v>
      </c>
      <c r="G205">
        <f t="shared" si="5"/>
        <v>0</v>
      </c>
      <c r="H205">
        <f t="shared" si="6"/>
        <v>0</v>
      </c>
    </row>
    <row r="206" spans="1:8" x14ac:dyDescent="0.35">
      <c r="A206" t="s">
        <v>29</v>
      </c>
      <c r="B206">
        <v>4</v>
      </c>
      <c r="C206">
        <f t="shared" si="1"/>
        <v>3</v>
      </c>
      <c r="D206">
        <f t="shared" si="2"/>
        <v>3</v>
      </c>
      <c r="E206">
        <f t="shared" si="3"/>
        <v>1</v>
      </c>
      <c r="F206">
        <f t="shared" si="4"/>
        <v>1</v>
      </c>
      <c r="G206">
        <f t="shared" si="5"/>
        <v>0</v>
      </c>
      <c r="H206">
        <f t="shared" si="6"/>
        <v>0</v>
      </c>
    </row>
    <row r="207" spans="1:8" x14ac:dyDescent="0.35">
      <c r="A207" t="s">
        <v>29</v>
      </c>
      <c r="B207">
        <v>5</v>
      </c>
      <c r="C207">
        <f t="shared" si="1"/>
        <v>1</v>
      </c>
      <c r="D207">
        <f t="shared" si="2"/>
        <v>1</v>
      </c>
      <c r="E207">
        <f t="shared" si="3"/>
        <v>0</v>
      </c>
      <c r="F207">
        <f t="shared" si="4"/>
        <v>0</v>
      </c>
      <c r="G207">
        <f t="shared" si="5"/>
        <v>0</v>
      </c>
      <c r="H207">
        <f t="shared" si="6"/>
        <v>0</v>
      </c>
    </row>
    <row r="208" spans="1:8" x14ac:dyDescent="0.35">
      <c r="A208" t="s">
        <v>29</v>
      </c>
      <c r="B208">
        <v>6</v>
      </c>
      <c r="C208">
        <f t="shared" si="1"/>
        <v>4</v>
      </c>
      <c r="D208">
        <f t="shared" si="2"/>
        <v>4</v>
      </c>
      <c r="E208">
        <f t="shared" si="3"/>
        <v>0</v>
      </c>
      <c r="F208">
        <f t="shared" si="4"/>
        <v>0</v>
      </c>
      <c r="G208">
        <f t="shared" si="5"/>
        <v>0</v>
      </c>
      <c r="H208">
        <f t="shared" si="6"/>
        <v>0</v>
      </c>
    </row>
    <row r="209" spans="1:8" x14ac:dyDescent="0.35">
      <c r="A209" t="s">
        <v>29</v>
      </c>
      <c r="B209">
        <v>7</v>
      </c>
      <c r="C209">
        <f t="shared" si="1"/>
        <v>2</v>
      </c>
      <c r="D209">
        <f t="shared" si="2"/>
        <v>0</v>
      </c>
      <c r="E209">
        <f t="shared" si="3"/>
        <v>0</v>
      </c>
      <c r="F209">
        <f t="shared" si="4"/>
        <v>0</v>
      </c>
      <c r="G209">
        <f t="shared" si="5"/>
        <v>0</v>
      </c>
      <c r="H209">
        <f t="shared" si="6"/>
        <v>0</v>
      </c>
    </row>
    <row r="210" spans="1:8" x14ac:dyDescent="0.35">
      <c r="A210" t="s">
        <v>29</v>
      </c>
      <c r="B210">
        <v>8</v>
      </c>
      <c r="C210">
        <f t="shared" si="1"/>
        <v>2</v>
      </c>
      <c r="D210">
        <f t="shared" si="2"/>
        <v>2</v>
      </c>
      <c r="E210">
        <f t="shared" si="3"/>
        <v>0</v>
      </c>
      <c r="F210">
        <f t="shared" si="4"/>
        <v>0</v>
      </c>
      <c r="G210">
        <f t="shared" si="5"/>
        <v>0</v>
      </c>
      <c r="H210">
        <f t="shared" si="6"/>
        <v>0</v>
      </c>
    </row>
    <row r="211" spans="1:8" x14ac:dyDescent="0.35">
      <c r="A211" t="s">
        <v>29</v>
      </c>
      <c r="B211">
        <v>9</v>
      </c>
      <c r="C211">
        <f t="shared" si="1"/>
        <v>0</v>
      </c>
      <c r="D211">
        <f t="shared" si="2"/>
        <v>0</v>
      </c>
      <c r="E211">
        <f t="shared" si="3"/>
        <v>0</v>
      </c>
      <c r="F211">
        <f t="shared" si="4"/>
        <v>0</v>
      </c>
      <c r="G211">
        <f t="shared" si="5"/>
        <v>0</v>
      </c>
      <c r="H211">
        <f t="shared" si="6"/>
        <v>0</v>
      </c>
    </row>
    <row r="212" spans="1:8" x14ac:dyDescent="0.35">
      <c r="A212" t="s">
        <v>29</v>
      </c>
      <c r="B212">
        <v>10</v>
      </c>
      <c r="C212">
        <f t="shared" si="1"/>
        <v>0</v>
      </c>
      <c r="D212">
        <f t="shared" si="2"/>
        <v>0</v>
      </c>
      <c r="E212">
        <f t="shared" si="3"/>
        <v>0</v>
      </c>
      <c r="F212">
        <f t="shared" si="4"/>
        <v>0</v>
      </c>
      <c r="G212">
        <f t="shared" si="5"/>
        <v>0</v>
      </c>
      <c r="H212">
        <f t="shared" si="6"/>
        <v>0</v>
      </c>
    </row>
    <row r="213" spans="1:8" x14ac:dyDescent="0.35">
      <c r="A213" t="s">
        <v>29</v>
      </c>
      <c r="B213">
        <v>11</v>
      </c>
      <c r="C213">
        <f t="shared" si="1"/>
        <v>0</v>
      </c>
      <c r="D213">
        <f t="shared" si="2"/>
        <v>0</v>
      </c>
      <c r="E213">
        <f t="shared" si="3"/>
        <v>0</v>
      </c>
      <c r="F213">
        <f t="shared" si="4"/>
        <v>0</v>
      </c>
      <c r="G213">
        <f t="shared" si="5"/>
        <v>0</v>
      </c>
      <c r="H213">
        <f t="shared" si="6"/>
        <v>0</v>
      </c>
    </row>
    <row r="214" spans="1:8" x14ac:dyDescent="0.35">
      <c r="A214" t="s">
        <v>29</v>
      </c>
      <c r="B214">
        <v>12</v>
      </c>
      <c r="C214">
        <f t="shared" si="1"/>
        <v>1</v>
      </c>
      <c r="D214">
        <f t="shared" si="2"/>
        <v>0</v>
      </c>
      <c r="E214">
        <f t="shared" si="3"/>
        <v>0</v>
      </c>
      <c r="F214">
        <f t="shared" si="4"/>
        <v>0</v>
      </c>
      <c r="G214">
        <f t="shared" si="5"/>
        <v>0</v>
      </c>
      <c r="H214">
        <f t="shared" si="6"/>
        <v>0</v>
      </c>
    </row>
    <row r="215" spans="1:8" x14ac:dyDescent="0.35">
      <c r="A215" t="s">
        <v>29</v>
      </c>
      <c r="B215">
        <v>13</v>
      </c>
      <c r="C215">
        <f t="shared" si="1"/>
        <v>0</v>
      </c>
      <c r="D215">
        <f t="shared" si="2"/>
        <v>0</v>
      </c>
      <c r="E215">
        <f t="shared" si="3"/>
        <v>0</v>
      </c>
      <c r="F215">
        <f t="shared" si="4"/>
        <v>0</v>
      </c>
      <c r="G215">
        <f t="shared" si="5"/>
        <v>0</v>
      </c>
      <c r="H215">
        <f t="shared" si="6"/>
        <v>0</v>
      </c>
    </row>
    <row r="216" spans="1:8" x14ac:dyDescent="0.35">
      <c r="A216" t="s">
        <v>29</v>
      </c>
      <c r="B216">
        <v>14</v>
      </c>
      <c r="C216">
        <f t="shared" si="1"/>
        <v>0</v>
      </c>
      <c r="D216">
        <f t="shared" si="2"/>
        <v>0</v>
      </c>
      <c r="E216">
        <f t="shared" si="3"/>
        <v>0</v>
      </c>
      <c r="F216">
        <f t="shared" si="4"/>
        <v>0</v>
      </c>
      <c r="G216">
        <f t="shared" si="5"/>
        <v>0</v>
      </c>
      <c r="H216">
        <f t="shared" si="6"/>
        <v>0</v>
      </c>
    </row>
    <row r="217" spans="1:8" x14ac:dyDescent="0.35">
      <c r="A217" t="s">
        <v>29</v>
      </c>
      <c r="B217">
        <v>15</v>
      </c>
      <c r="C217">
        <f t="shared" si="1"/>
        <v>0</v>
      </c>
      <c r="D217">
        <f t="shared" si="2"/>
        <v>0</v>
      </c>
      <c r="E217">
        <f t="shared" si="3"/>
        <v>0</v>
      </c>
      <c r="F217">
        <f t="shared" si="4"/>
        <v>0</v>
      </c>
      <c r="G217">
        <f t="shared" si="5"/>
        <v>0</v>
      </c>
      <c r="H217">
        <f t="shared" si="6"/>
        <v>0</v>
      </c>
    </row>
    <row r="218" spans="1:8" x14ac:dyDescent="0.35">
      <c r="A218" t="s">
        <v>29</v>
      </c>
      <c r="B218">
        <v>16</v>
      </c>
      <c r="C218">
        <f t="shared" si="1"/>
        <v>0</v>
      </c>
      <c r="D218">
        <f t="shared" si="2"/>
        <v>0</v>
      </c>
      <c r="E218">
        <f t="shared" si="3"/>
        <v>0</v>
      </c>
      <c r="F218">
        <f t="shared" si="4"/>
        <v>0</v>
      </c>
      <c r="G218">
        <f t="shared" si="5"/>
        <v>0</v>
      </c>
      <c r="H218">
        <f t="shared" si="6"/>
        <v>0</v>
      </c>
    </row>
    <row r="219" spans="1:8" x14ac:dyDescent="0.35">
      <c r="A219" t="s">
        <v>29</v>
      </c>
      <c r="B219">
        <v>17</v>
      </c>
      <c r="C219">
        <f t="shared" si="1"/>
        <v>0</v>
      </c>
      <c r="D219">
        <f t="shared" si="2"/>
        <v>0</v>
      </c>
      <c r="E219">
        <f t="shared" si="3"/>
        <v>0</v>
      </c>
      <c r="F219">
        <f t="shared" si="4"/>
        <v>0</v>
      </c>
      <c r="G219">
        <f t="shared" si="5"/>
        <v>0</v>
      </c>
      <c r="H219">
        <f t="shared" si="6"/>
        <v>0</v>
      </c>
    </row>
    <row r="220" spans="1:8" x14ac:dyDescent="0.35">
      <c r="A220" t="s">
        <v>29</v>
      </c>
      <c r="B220">
        <v>18</v>
      </c>
      <c r="C220">
        <f t="shared" si="1"/>
        <v>0</v>
      </c>
      <c r="D220">
        <f t="shared" si="2"/>
        <v>0</v>
      </c>
      <c r="E220">
        <f t="shared" si="3"/>
        <v>0</v>
      </c>
      <c r="F220">
        <f t="shared" si="4"/>
        <v>0</v>
      </c>
      <c r="G220">
        <f t="shared" si="5"/>
        <v>0</v>
      </c>
      <c r="H220">
        <f t="shared" si="6"/>
        <v>0</v>
      </c>
    </row>
    <row r="221" spans="1:8" x14ac:dyDescent="0.35">
      <c r="A221" t="s">
        <v>29</v>
      </c>
      <c r="B221">
        <v>19</v>
      </c>
      <c r="C221">
        <f t="shared" si="1"/>
        <v>0</v>
      </c>
      <c r="D221">
        <f t="shared" si="2"/>
        <v>0</v>
      </c>
      <c r="E221">
        <f t="shared" si="3"/>
        <v>0</v>
      </c>
      <c r="F221">
        <f t="shared" si="4"/>
        <v>0</v>
      </c>
      <c r="G221">
        <f t="shared" si="5"/>
        <v>0</v>
      </c>
      <c r="H221">
        <f t="shared" si="6"/>
        <v>0</v>
      </c>
    </row>
    <row r="222" spans="1:8" x14ac:dyDescent="0.35">
      <c r="A222" t="s">
        <v>29</v>
      </c>
      <c r="B222">
        <v>20</v>
      </c>
      <c r="C222">
        <f t="shared" si="1"/>
        <v>0</v>
      </c>
      <c r="D222">
        <f t="shared" si="2"/>
        <v>0</v>
      </c>
      <c r="E222">
        <f t="shared" si="3"/>
        <v>0</v>
      </c>
      <c r="F222">
        <f t="shared" si="4"/>
        <v>0</v>
      </c>
      <c r="G222">
        <f t="shared" si="5"/>
        <v>0</v>
      </c>
      <c r="H222">
        <f t="shared" si="6"/>
        <v>0</v>
      </c>
    </row>
    <row r="223" spans="1:8" x14ac:dyDescent="0.35">
      <c r="A223" t="s">
        <v>29</v>
      </c>
      <c r="B223">
        <v>21</v>
      </c>
      <c r="C223">
        <f t="shared" si="1"/>
        <v>0</v>
      </c>
      <c r="D223">
        <f t="shared" si="2"/>
        <v>0</v>
      </c>
      <c r="E223">
        <f t="shared" si="3"/>
        <v>0</v>
      </c>
      <c r="F223">
        <f t="shared" si="4"/>
        <v>0</v>
      </c>
      <c r="G223">
        <f t="shared" si="5"/>
        <v>0</v>
      </c>
      <c r="H223">
        <f t="shared" si="6"/>
        <v>0</v>
      </c>
    </row>
    <row r="224" spans="1:8" x14ac:dyDescent="0.35">
      <c r="A224" t="s">
        <v>29</v>
      </c>
      <c r="B224">
        <v>22</v>
      </c>
      <c r="C224">
        <f t="shared" si="1"/>
        <v>0</v>
      </c>
      <c r="D224">
        <f t="shared" si="2"/>
        <v>0</v>
      </c>
      <c r="E224">
        <f t="shared" si="3"/>
        <v>0</v>
      </c>
      <c r="F224">
        <f t="shared" si="4"/>
        <v>0</v>
      </c>
      <c r="G224">
        <f t="shared" si="5"/>
        <v>0</v>
      </c>
      <c r="H224">
        <f t="shared" si="6"/>
        <v>0</v>
      </c>
    </row>
    <row r="225" spans="1:8" x14ac:dyDescent="0.35">
      <c r="A225" t="s">
        <v>29</v>
      </c>
      <c r="B225">
        <v>23</v>
      </c>
      <c r="C225">
        <f t="shared" si="1"/>
        <v>0</v>
      </c>
      <c r="D225">
        <f t="shared" si="2"/>
        <v>0</v>
      </c>
      <c r="E225">
        <f t="shared" si="3"/>
        <v>0</v>
      </c>
      <c r="F225">
        <f t="shared" si="4"/>
        <v>0</v>
      </c>
      <c r="G225">
        <f t="shared" si="5"/>
        <v>0</v>
      </c>
      <c r="H225">
        <f t="shared" si="6"/>
        <v>0</v>
      </c>
    </row>
    <row r="226" spans="1:8" x14ac:dyDescent="0.35">
      <c r="A226" t="s">
        <v>29</v>
      </c>
      <c r="B226">
        <v>24</v>
      </c>
      <c r="C226">
        <f t="shared" si="1"/>
        <v>0</v>
      </c>
      <c r="D226">
        <f t="shared" si="2"/>
        <v>0</v>
      </c>
      <c r="E226">
        <f t="shared" si="3"/>
        <v>0</v>
      </c>
      <c r="F226">
        <f>COUNTIF($F$4:$F$170, $B226)</f>
        <v>0</v>
      </c>
      <c r="G226">
        <f t="shared" si="5"/>
        <v>0</v>
      </c>
      <c r="H226">
        <f t="shared" si="6"/>
        <v>0</v>
      </c>
    </row>
    <row r="227" spans="1:8" x14ac:dyDescent="0.35">
      <c r="A227" t="s">
        <v>29</v>
      </c>
      <c r="B227">
        <v>25</v>
      </c>
      <c r="C227">
        <f t="shared" si="1"/>
        <v>0</v>
      </c>
      <c r="D227">
        <f t="shared" si="2"/>
        <v>0</v>
      </c>
      <c r="E227">
        <f>COUNTIF($E$4:$E$170, $B227)</f>
        <v>0</v>
      </c>
      <c r="F227">
        <f>COUNTIF($F$4:$F$170, $B227)</f>
        <v>0</v>
      </c>
      <c r="G227">
        <f t="shared" si="5"/>
        <v>0</v>
      </c>
      <c r="H227">
        <f t="shared" si="6"/>
        <v>0</v>
      </c>
    </row>
  </sheetData>
  <mergeCells count="3">
    <mergeCell ref="A1:C1"/>
    <mergeCell ref="B2:C2"/>
    <mergeCell ref="A202:B2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topLeftCell="A14" workbookViewId="0">
      <selection activeCell="E29" sqref="A1:E29"/>
    </sheetView>
  </sheetViews>
  <sheetFormatPr defaultRowHeight="14.5" x14ac:dyDescent="0.35"/>
  <cols>
    <col min="3" max="3" width="8.81640625" bestFit="1" customWidth="1"/>
  </cols>
  <sheetData>
    <row r="1" spans="1:5" x14ac:dyDescent="0.35">
      <c r="A1" s="22" t="s">
        <v>28</v>
      </c>
      <c r="B1" s="22"/>
      <c r="C1" s="22"/>
      <c r="D1" s="22"/>
      <c r="E1" s="22"/>
    </row>
    <row r="4" spans="1:5" x14ac:dyDescent="0.35">
      <c r="A4" t="s">
        <v>2</v>
      </c>
      <c r="B4">
        <f>ANTIPASTI!C207</f>
        <v>8</v>
      </c>
      <c r="C4">
        <f>1*B4</f>
        <v>8</v>
      </c>
    </row>
    <row r="5" spans="1:5" x14ac:dyDescent="0.35">
      <c r="A5" t="s">
        <v>3</v>
      </c>
      <c r="B5">
        <f>ANTIPASTI!C208</f>
        <v>12</v>
      </c>
      <c r="C5">
        <f>2*B5</f>
        <v>24</v>
      </c>
    </row>
    <row r="6" spans="1:5" x14ac:dyDescent="0.35">
      <c r="A6" t="s">
        <v>4</v>
      </c>
      <c r="B6">
        <f>ANTIPASTI!C209</f>
        <v>4</v>
      </c>
      <c r="C6">
        <f>3*B6</f>
        <v>12</v>
      </c>
    </row>
    <row r="7" spans="1:5" x14ac:dyDescent="0.35">
      <c r="A7" t="s">
        <v>5</v>
      </c>
      <c r="B7">
        <f>ANTIPASTI!C210</f>
        <v>2</v>
      </c>
      <c r="C7">
        <f>4*B7</f>
        <v>8</v>
      </c>
    </row>
    <row r="8" spans="1:5" x14ac:dyDescent="0.35">
      <c r="A8" t="s">
        <v>6</v>
      </c>
      <c r="B8">
        <f>ANTIPASTI!C211</f>
        <v>1</v>
      </c>
      <c r="C8">
        <f>5*B8</f>
        <v>5</v>
      </c>
    </row>
    <row r="9" spans="1:5" x14ac:dyDescent="0.35">
      <c r="A9" t="s">
        <v>7</v>
      </c>
      <c r="B9">
        <f>ANTIPASTI!C212</f>
        <v>0</v>
      </c>
      <c r="C9">
        <f>6*B9</f>
        <v>0</v>
      </c>
    </row>
    <row r="10" spans="1:5" x14ac:dyDescent="0.35">
      <c r="A10" t="s">
        <v>8</v>
      </c>
      <c r="B10">
        <f>ANTIPASTI!C213</f>
        <v>0</v>
      </c>
      <c r="C10">
        <f>7*B10</f>
        <v>0</v>
      </c>
    </row>
    <row r="11" spans="1:5" x14ac:dyDescent="0.35">
      <c r="A11" t="s">
        <v>9</v>
      </c>
      <c r="B11">
        <f>ANTIPASTI!C214</f>
        <v>0</v>
      </c>
      <c r="C11">
        <f>8*B11</f>
        <v>0</v>
      </c>
    </row>
    <row r="12" spans="1:5" x14ac:dyDescent="0.35">
      <c r="A12" t="s">
        <v>10</v>
      </c>
      <c r="B12">
        <f>ANTIPASTI!C215</f>
        <v>1</v>
      </c>
      <c r="C12">
        <f>9*B12</f>
        <v>9</v>
      </c>
    </row>
    <row r="13" spans="1:5" x14ac:dyDescent="0.35">
      <c r="A13" t="s">
        <v>11</v>
      </c>
      <c r="B13">
        <f>ANTIPASTI!C216</f>
        <v>0</v>
      </c>
      <c r="C13">
        <f>10*B13</f>
        <v>0</v>
      </c>
    </row>
    <row r="14" spans="1:5" x14ac:dyDescent="0.35">
      <c r="A14" t="s">
        <v>12</v>
      </c>
      <c r="B14">
        <f>ANTIPASTI!C217</f>
        <v>0</v>
      </c>
      <c r="C14">
        <f>11*B14</f>
        <v>0</v>
      </c>
    </row>
    <row r="15" spans="1:5" x14ac:dyDescent="0.35">
      <c r="A15" t="s">
        <v>13</v>
      </c>
      <c r="B15">
        <f>ANTIPASTI!C218</f>
        <v>0</v>
      </c>
      <c r="C15">
        <f>12*B15</f>
        <v>0</v>
      </c>
    </row>
    <row r="16" spans="1:5" x14ac:dyDescent="0.35">
      <c r="A16" t="s">
        <v>14</v>
      </c>
      <c r="B16">
        <f>ANTIPASTI!C219</f>
        <v>0</v>
      </c>
      <c r="C16">
        <f>13*B16</f>
        <v>0</v>
      </c>
    </row>
    <row r="17" spans="1:3" x14ac:dyDescent="0.35">
      <c r="A17" t="s">
        <v>15</v>
      </c>
      <c r="B17">
        <f>ANTIPASTI!C220</f>
        <v>0</v>
      </c>
      <c r="C17">
        <f>14*B17</f>
        <v>0</v>
      </c>
    </row>
    <row r="18" spans="1:3" x14ac:dyDescent="0.35">
      <c r="A18" t="s">
        <v>16</v>
      </c>
      <c r="B18">
        <f>ANTIPASTI!C221</f>
        <v>0</v>
      </c>
      <c r="C18">
        <f>15*B18</f>
        <v>0</v>
      </c>
    </row>
    <row r="19" spans="1:3" x14ac:dyDescent="0.35">
      <c r="A19" t="s">
        <v>17</v>
      </c>
      <c r="B19">
        <f>ANTIPASTI!C222</f>
        <v>0</v>
      </c>
      <c r="C19">
        <f>16*B19</f>
        <v>0</v>
      </c>
    </row>
    <row r="20" spans="1:3" x14ac:dyDescent="0.35">
      <c r="A20" t="s">
        <v>73</v>
      </c>
      <c r="B20">
        <f>ANTIPASTI!C223</f>
        <v>0</v>
      </c>
      <c r="C20">
        <f>17*B20</f>
        <v>0</v>
      </c>
    </row>
    <row r="21" spans="1:3" x14ac:dyDescent="0.35">
      <c r="A21" t="s">
        <v>74</v>
      </c>
      <c r="B21">
        <f>ANTIPASTI!C224</f>
        <v>0</v>
      </c>
      <c r="C21">
        <f>18*B21</f>
        <v>0</v>
      </c>
    </row>
    <row r="22" spans="1:3" x14ac:dyDescent="0.35">
      <c r="A22" t="s">
        <v>75</v>
      </c>
      <c r="B22">
        <f>ANTIPASTI!C225</f>
        <v>0</v>
      </c>
      <c r="C22">
        <f>19*B22</f>
        <v>0</v>
      </c>
    </row>
    <row r="23" spans="1:3" x14ac:dyDescent="0.35">
      <c r="A23" t="s">
        <v>76</v>
      </c>
      <c r="B23">
        <f>ANTIPASTI!C226</f>
        <v>0</v>
      </c>
      <c r="C23">
        <f>20*B23</f>
        <v>0</v>
      </c>
    </row>
    <row r="24" spans="1:3" x14ac:dyDescent="0.35">
      <c r="A24" t="s">
        <v>77</v>
      </c>
      <c r="B24">
        <f>ANTIPASTI!C227</f>
        <v>0</v>
      </c>
      <c r="C24">
        <f>21*B24</f>
        <v>0</v>
      </c>
    </row>
    <row r="25" spans="1:3" x14ac:dyDescent="0.35">
      <c r="A25" t="s">
        <v>78</v>
      </c>
      <c r="B25">
        <f>ANTIPASTI!C228</f>
        <v>0</v>
      </c>
      <c r="C25">
        <f>22*B25</f>
        <v>0</v>
      </c>
    </row>
    <row r="26" spans="1:3" x14ac:dyDescent="0.35">
      <c r="A26" t="s">
        <v>79</v>
      </c>
      <c r="B26">
        <f>ANTIPASTI!C229</f>
        <v>0</v>
      </c>
      <c r="C26">
        <f>23*B26</f>
        <v>0</v>
      </c>
    </row>
    <row r="27" spans="1:3" x14ac:dyDescent="0.35">
      <c r="A27" t="s">
        <v>80</v>
      </c>
      <c r="B27">
        <f>ANTIPASTI!C230</f>
        <v>0</v>
      </c>
      <c r="C27">
        <f>24*B27</f>
        <v>0</v>
      </c>
    </row>
    <row r="28" spans="1:3" x14ac:dyDescent="0.35">
      <c r="A28" t="s">
        <v>81</v>
      </c>
      <c r="B28">
        <f>ANTIPASTI!C231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66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topLeftCell="A15" workbookViewId="0">
      <selection activeCell="D29" sqref="A1:E29"/>
    </sheetView>
  </sheetViews>
  <sheetFormatPr defaultRowHeight="14.5" x14ac:dyDescent="0.35"/>
  <cols>
    <col min="5" max="5" width="12.08984375" customWidth="1"/>
  </cols>
  <sheetData>
    <row r="1" spans="1:5" x14ac:dyDescent="0.35">
      <c r="A1" s="23" t="s">
        <v>31</v>
      </c>
      <c r="B1" s="23"/>
      <c r="C1" s="23"/>
      <c r="D1" s="23"/>
      <c r="E1" s="23"/>
    </row>
    <row r="4" spans="1:5" x14ac:dyDescent="0.35">
      <c r="A4" t="s">
        <v>2</v>
      </c>
      <c r="B4">
        <f>ANTIPASTI!D207</f>
        <v>7</v>
      </c>
      <c r="C4">
        <f>1*B4</f>
        <v>7</v>
      </c>
    </row>
    <row r="5" spans="1:5" x14ac:dyDescent="0.35">
      <c r="A5" t="s">
        <v>3</v>
      </c>
      <c r="B5">
        <f>ANTIPASTI!D208</f>
        <v>13</v>
      </c>
      <c r="C5">
        <f>2*B5</f>
        <v>26</v>
      </c>
    </row>
    <row r="6" spans="1:5" x14ac:dyDescent="0.35">
      <c r="A6" t="s">
        <v>4</v>
      </c>
      <c r="B6">
        <f>ANTIPASTI!D209</f>
        <v>9</v>
      </c>
      <c r="C6">
        <f>3*B6</f>
        <v>27</v>
      </c>
    </row>
    <row r="7" spans="1:5" x14ac:dyDescent="0.35">
      <c r="A7" t="s">
        <v>5</v>
      </c>
      <c r="B7">
        <f>ANTIPASTI!D210</f>
        <v>6</v>
      </c>
      <c r="C7">
        <f>4*B7</f>
        <v>24</v>
      </c>
    </row>
    <row r="8" spans="1:5" x14ac:dyDescent="0.35">
      <c r="A8" t="s">
        <v>6</v>
      </c>
      <c r="B8">
        <f>ANTIPASTI!D211</f>
        <v>2</v>
      </c>
      <c r="C8">
        <f>5*B8</f>
        <v>10</v>
      </c>
    </row>
    <row r="9" spans="1:5" x14ac:dyDescent="0.35">
      <c r="A9" t="s">
        <v>7</v>
      </c>
      <c r="B9">
        <f>ANTIPASTI!D212</f>
        <v>3</v>
      </c>
      <c r="C9">
        <f>6*B9</f>
        <v>18</v>
      </c>
    </row>
    <row r="10" spans="1:5" x14ac:dyDescent="0.35">
      <c r="A10" t="s">
        <v>8</v>
      </c>
      <c r="B10">
        <f>ANTIPASTI!D213</f>
        <v>0</v>
      </c>
      <c r="C10">
        <f>7*B10</f>
        <v>0</v>
      </c>
    </row>
    <row r="11" spans="1:5" x14ac:dyDescent="0.35">
      <c r="A11" t="s">
        <v>9</v>
      </c>
      <c r="B11">
        <f>ANTIPASTI!D214</f>
        <v>1</v>
      </c>
      <c r="C11">
        <f>8*B11</f>
        <v>8</v>
      </c>
    </row>
    <row r="12" spans="1:5" x14ac:dyDescent="0.35">
      <c r="A12" t="s">
        <v>10</v>
      </c>
      <c r="B12">
        <f>ANTIPASTI!D215</f>
        <v>0</v>
      </c>
      <c r="C12">
        <f>9*B12</f>
        <v>0</v>
      </c>
    </row>
    <row r="13" spans="1:5" x14ac:dyDescent="0.35">
      <c r="A13" t="s">
        <v>11</v>
      </c>
      <c r="B13">
        <f>ANTIPASTI!D216</f>
        <v>0</v>
      </c>
      <c r="C13">
        <f>10*B13</f>
        <v>0</v>
      </c>
    </row>
    <row r="14" spans="1:5" x14ac:dyDescent="0.35">
      <c r="A14" t="s">
        <v>12</v>
      </c>
      <c r="B14">
        <f>ANTIPASTI!D217</f>
        <v>0</v>
      </c>
      <c r="C14">
        <f>11*B14</f>
        <v>0</v>
      </c>
    </row>
    <row r="15" spans="1:5" x14ac:dyDescent="0.35">
      <c r="A15" t="s">
        <v>13</v>
      </c>
      <c r="B15">
        <f>ANTIPASTI!D218</f>
        <v>0</v>
      </c>
      <c r="C15">
        <f>12*B15</f>
        <v>0</v>
      </c>
    </row>
    <row r="16" spans="1:5" x14ac:dyDescent="0.35">
      <c r="A16" t="s">
        <v>14</v>
      </c>
      <c r="B16">
        <f>ANTIPASTI!D219</f>
        <v>0</v>
      </c>
      <c r="C16">
        <f>13*B16</f>
        <v>0</v>
      </c>
    </row>
    <row r="17" spans="1:3" x14ac:dyDescent="0.35">
      <c r="A17" t="s">
        <v>15</v>
      </c>
      <c r="B17">
        <f>ANTIPASTI!D220</f>
        <v>0</v>
      </c>
      <c r="C17">
        <f>14*B17</f>
        <v>0</v>
      </c>
    </row>
    <row r="18" spans="1:3" x14ac:dyDescent="0.35">
      <c r="A18" t="s">
        <v>16</v>
      </c>
      <c r="B18">
        <f>ANTIPASTI!D221</f>
        <v>0</v>
      </c>
      <c r="C18">
        <f>15*B18</f>
        <v>0</v>
      </c>
    </row>
    <row r="19" spans="1:3" x14ac:dyDescent="0.35">
      <c r="A19" t="s">
        <v>17</v>
      </c>
      <c r="B19">
        <f>ANTIPASTI!D222</f>
        <v>0</v>
      </c>
      <c r="C19">
        <f>16*B19</f>
        <v>0</v>
      </c>
    </row>
    <row r="20" spans="1:3" x14ac:dyDescent="0.35">
      <c r="A20" t="s">
        <v>73</v>
      </c>
      <c r="B20">
        <f>ANTIPASTI!D223</f>
        <v>0</v>
      </c>
      <c r="C20">
        <f>17*B20</f>
        <v>0</v>
      </c>
    </row>
    <row r="21" spans="1:3" x14ac:dyDescent="0.35">
      <c r="A21" t="s">
        <v>74</v>
      </c>
      <c r="B21">
        <f>ANTIPASTI!D224</f>
        <v>0</v>
      </c>
      <c r="C21">
        <f>18*B21</f>
        <v>0</v>
      </c>
    </row>
    <row r="22" spans="1:3" x14ac:dyDescent="0.35">
      <c r="A22" t="s">
        <v>75</v>
      </c>
      <c r="B22">
        <f>ANTIPASTI!D225</f>
        <v>0</v>
      </c>
      <c r="C22">
        <f>19*B22</f>
        <v>0</v>
      </c>
    </row>
    <row r="23" spans="1:3" x14ac:dyDescent="0.35">
      <c r="A23" t="s">
        <v>76</v>
      </c>
      <c r="B23">
        <f>ANTIPASTI!D226</f>
        <v>0</v>
      </c>
      <c r="C23">
        <f>20*B23</f>
        <v>0</v>
      </c>
    </row>
    <row r="24" spans="1:3" x14ac:dyDescent="0.35">
      <c r="A24" t="s">
        <v>77</v>
      </c>
      <c r="B24">
        <f>ANTIPASTI!D227</f>
        <v>0</v>
      </c>
      <c r="C24">
        <f>21*B24</f>
        <v>0</v>
      </c>
    </row>
    <row r="25" spans="1:3" x14ac:dyDescent="0.35">
      <c r="A25" t="s">
        <v>78</v>
      </c>
      <c r="B25">
        <f>ANTIPASTI!D228</f>
        <v>0</v>
      </c>
      <c r="C25">
        <f>22*B25</f>
        <v>0</v>
      </c>
    </row>
    <row r="26" spans="1:3" x14ac:dyDescent="0.35">
      <c r="A26" t="s">
        <v>79</v>
      </c>
      <c r="B26">
        <f>ANTIPASTI!D229</f>
        <v>0</v>
      </c>
      <c r="C26">
        <f>23*B26</f>
        <v>0</v>
      </c>
    </row>
    <row r="27" spans="1:3" x14ac:dyDescent="0.35">
      <c r="A27" t="s">
        <v>80</v>
      </c>
      <c r="B27">
        <f>ANTIPASTI!D230</f>
        <v>0</v>
      </c>
      <c r="C27">
        <f>24*B27</f>
        <v>0</v>
      </c>
    </row>
    <row r="28" spans="1:3" x14ac:dyDescent="0.35">
      <c r="A28" t="s">
        <v>81</v>
      </c>
      <c r="B28">
        <f>ANTIPASTI!D231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120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topLeftCell="A20" workbookViewId="0">
      <selection activeCell="E29" sqref="A1:E29"/>
    </sheetView>
  </sheetViews>
  <sheetFormatPr defaultRowHeight="14.5" x14ac:dyDescent="0.35"/>
  <sheetData>
    <row r="1" spans="1:5" x14ac:dyDescent="0.35">
      <c r="A1" s="23" t="s">
        <v>30</v>
      </c>
      <c r="B1" s="23"/>
      <c r="C1" s="23"/>
      <c r="D1" s="23"/>
      <c r="E1" s="23"/>
    </row>
    <row r="4" spans="1:5" x14ac:dyDescent="0.35">
      <c r="A4" t="s">
        <v>2</v>
      </c>
      <c r="B4">
        <f>ANTIPASTI!E207</f>
        <v>8</v>
      </c>
      <c r="C4">
        <f>1*B4</f>
        <v>8</v>
      </c>
    </row>
    <row r="5" spans="1:5" x14ac:dyDescent="0.35">
      <c r="A5" t="s">
        <v>3</v>
      </c>
      <c r="B5">
        <f>ANTIPASTI!E208</f>
        <v>12</v>
      </c>
      <c r="C5">
        <f>2*B5</f>
        <v>24</v>
      </c>
    </row>
    <row r="6" spans="1:5" x14ac:dyDescent="0.35">
      <c r="A6" t="s">
        <v>4</v>
      </c>
      <c r="B6">
        <f>ANTIPASTI!E209</f>
        <v>8</v>
      </c>
      <c r="C6">
        <f>3*B6</f>
        <v>24</v>
      </c>
    </row>
    <row r="7" spans="1:5" x14ac:dyDescent="0.35">
      <c r="A7" t="s">
        <v>5</v>
      </c>
      <c r="B7">
        <f>ANTIPASTI!E210</f>
        <v>5</v>
      </c>
      <c r="C7">
        <f>4*B7</f>
        <v>20</v>
      </c>
    </row>
    <row r="8" spans="1:5" x14ac:dyDescent="0.35">
      <c r="A8" t="s">
        <v>6</v>
      </c>
      <c r="B8">
        <f>ANTIPASTI!E211</f>
        <v>0</v>
      </c>
      <c r="C8">
        <f>5*B8</f>
        <v>0</v>
      </c>
    </row>
    <row r="9" spans="1:5" x14ac:dyDescent="0.35">
      <c r="A9" t="s">
        <v>7</v>
      </c>
      <c r="B9">
        <f>ANTIPASTI!E212</f>
        <v>4</v>
      </c>
      <c r="C9">
        <f>6*B9</f>
        <v>24</v>
      </c>
    </row>
    <row r="10" spans="1:5" x14ac:dyDescent="0.35">
      <c r="A10" t="s">
        <v>8</v>
      </c>
      <c r="B10">
        <f>ANTIPASTI!E213</f>
        <v>1</v>
      </c>
      <c r="C10">
        <f>7*B10</f>
        <v>7</v>
      </c>
    </row>
    <row r="11" spans="1:5" x14ac:dyDescent="0.35">
      <c r="A11" t="s">
        <v>9</v>
      </c>
      <c r="B11">
        <f>ANTIPASTI!E214</f>
        <v>3</v>
      </c>
      <c r="C11">
        <f>8*B11</f>
        <v>24</v>
      </c>
    </row>
    <row r="12" spans="1:5" x14ac:dyDescent="0.35">
      <c r="A12" t="s">
        <v>10</v>
      </c>
      <c r="B12">
        <f>ANTIPASTI!E215</f>
        <v>0</v>
      </c>
      <c r="C12">
        <f>9*B12</f>
        <v>0</v>
      </c>
    </row>
    <row r="13" spans="1:5" x14ac:dyDescent="0.35">
      <c r="A13" t="s">
        <v>11</v>
      </c>
      <c r="B13">
        <f>ANTIPASTI!E216</f>
        <v>2</v>
      </c>
      <c r="C13">
        <f>10*B13</f>
        <v>20</v>
      </c>
    </row>
    <row r="14" spans="1:5" x14ac:dyDescent="0.35">
      <c r="A14" t="s">
        <v>12</v>
      </c>
      <c r="B14">
        <f>ANTIPASTI!E217</f>
        <v>0</v>
      </c>
      <c r="C14">
        <f>11*B14</f>
        <v>0</v>
      </c>
    </row>
    <row r="15" spans="1:5" x14ac:dyDescent="0.35">
      <c r="A15" t="s">
        <v>13</v>
      </c>
      <c r="B15">
        <f>ANTIPASTI!E218</f>
        <v>0</v>
      </c>
      <c r="C15">
        <f>12*B15</f>
        <v>0</v>
      </c>
    </row>
    <row r="16" spans="1:5" x14ac:dyDescent="0.35">
      <c r="A16" t="s">
        <v>14</v>
      </c>
      <c r="B16">
        <f>ANTIPASTI!E219</f>
        <v>0</v>
      </c>
      <c r="C16">
        <f>13*B16</f>
        <v>0</v>
      </c>
    </row>
    <row r="17" spans="1:3" x14ac:dyDescent="0.35">
      <c r="A17" t="s">
        <v>15</v>
      </c>
      <c r="B17">
        <f>ANTIPASTI!E220</f>
        <v>0</v>
      </c>
      <c r="C17">
        <f>14*B17</f>
        <v>0</v>
      </c>
    </row>
    <row r="18" spans="1:3" x14ac:dyDescent="0.35">
      <c r="A18" t="s">
        <v>16</v>
      </c>
      <c r="B18">
        <f>ANTIPASTI!E221</f>
        <v>0</v>
      </c>
      <c r="C18">
        <f>15*B18</f>
        <v>0</v>
      </c>
    </row>
    <row r="19" spans="1:3" x14ac:dyDescent="0.35">
      <c r="A19" t="s">
        <v>17</v>
      </c>
      <c r="B19">
        <f>ANTIPASTI!E222</f>
        <v>0</v>
      </c>
      <c r="C19">
        <f>16*B19</f>
        <v>0</v>
      </c>
    </row>
    <row r="20" spans="1:3" x14ac:dyDescent="0.35">
      <c r="A20" t="s">
        <v>73</v>
      </c>
      <c r="B20">
        <f>ANTIPASTI!E223</f>
        <v>0</v>
      </c>
      <c r="C20">
        <f>17*B20</f>
        <v>0</v>
      </c>
    </row>
    <row r="21" spans="1:3" x14ac:dyDescent="0.35">
      <c r="A21" t="s">
        <v>74</v>
      </c>
      <c r="B21">
        <f>ANTIPASTI!E224</f>
        <v>0</v>
      </c>
      <c r="C21">
        <f>18*B21</f>
        <v>0</v>
      </c>
    </row>
    <row r="22" spans="1:3" x14ac:dyDescent="0.35">
      <c r="A22" t="s">
        <v>75</v>
      </c>
      <c r="B22">
        <f>ANTIPASTI!E225</f>
        <v>0</v>
      </c>
      <c r="C22">
        <f>19*B22</f>
        <v>0</v>
      </c>
    </row>
    <row r="23" spans="1:3" x14ac:dyDescent="0.35">
      <c r="A23" t="s">
        <v>76</v>
      </c>
      <c r="B23">
        <f>ANTIPASTI!E226</f>
        <v>0</v>
      </c>
      <c r="C23">
        <f>20*B23</f>
        <v>0</v>
      </c>
    </row>
    <row r="24" spans="1:3" x14ac:dyDescent="0.35">
      <c r="A24" t="s">
        <v>77</v>
      </c>
      <c r="B24">
        <f>ANTIPASTI!E227</f>
        <v>0</v>
      </c>
      <c r="C24">
        <f>21*B24</f>
        <v>0</v>
      </c>
    </row>
    <row r="25" spans="1:3" x14ac:dyDescent="0.35">
      <c r="A25" t="s">
        <v>78</v>
      </c>
      <c r="B25">
        <f>ANTIPASTI!E228</f>
        <v>0</v>
      </c>
      <c r="C25">
        <f>22*B25</f>
        <v>0</v>
      </c>
    </row>
    <row r="26" spans="1:3" x14ac:dyDescent="0.35">
      <c r="A26" t="s">
        <v>79</v>
      </c>
      <c r="B26">
        <f>ANTIPASTI!E229</f>
        <v>0</v>
      </c>
      <c r="C26">
        <f>23*B26</f>
        <v>0</v>
      </c>
    </row>
    <row r="27" spans="1:3" x14ac:dyDescent="0.35">
      <c r="A27" t="s">
        <v>80</v>
      </c>
      <c r="B27">
        <f>ANTIPASTI!E230</f>
        <v>0</v>
      </c>
      <c r="C27">
        <f>24*B27</f>
        <v>0</v>
      </c>
    </row>
    <row r="28" spans="1:3" x14ac:dyDescent="0.35">
      <c r="A28" t="s">
        <v>81</v>
      </c>
      <c r="B28">
        <f>ANTIPASTI!E231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151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9"/>
  <sheetViews>
    <sheetView topLeftCell="A20" workbookViewId="0">
      <selection activeCell="E29" sqref="A1:E29"/>
    </sheetView>
  </sheetViews>
  <sheetFormatPr defaultRowHeight="14.5" x14ac:dyDescent="0.35"/>
  <sheetData>
    <row r="1" spans="1:5" x14ac:dyDescent="0.35">
      <c r="A1" s="23" t="s">
        <v>32</v>
      </c>
      <c r="B1" s="23"/>
      <c r="C1" s="23"/>
      <c r="D1" s="23"/>
      <c r="E1" s="23"/>
    </row>
    <row r="4" spans="1:5" x14ac:dyDescent="0.35">
      <c r="A4" t="s">
        <v>2</v>
      </c>
      <c r="B4">
        <f>ANTIPASTI!F207</f>
        <v>6</v>
      </c>
      <c r="C4">
        <f>1*B4</f>
        <v>6</v>
      </c>
    </row>
    <row r="5" spans="1:5" x14ac:dyDescent="0.35">
      <c r="A5" t="s">
        <v>3</v>
      </c>
      <c r="B5">
        <f>ANTIPASTI!F208</f>
        <v>10</v>
      </c>
      <c r="C5">
        <f>2*B5</f>
        <v>20</v>
      </c>
    </row>
    <row r="6" spans="1:5" x14ac:dyDescent="0.35">
      <c r="A6" t="s">
        <v>4</v>
      </c>
      <c r="B6">
        <f>ANTIPASTI!F209</f>
        <v>10</v>
      </c>
      <c r="C6">
        <f>3*B6</f>
        <v>30</v>
      </c>
    </row>
    <row r="7" spans="1:5" x14ac:dyDescent="0.35">
      <c r="A7" t="s">
        <v>5</v>
      </c>
      <c r="B7">
        <f>ANTIPASTI!F210</f>
        <v>11</v>
      </c>
      <c r="C7">
        <f>4*B7</f>
        <v>44</v>
      </c>
    </row>
    <row r="8" spans="1:5" x14ac:dyDescent="0.35">
      <c r="A8" t="s">
        <v>6</v>
      </c>
      <c r="B8">
        <f>ANTIPASTI!F211</f>
        <v>3</v>
      </c>
      <c r="C8">
        <f>5*B8</f>
        <v>15</v>
      </c>
    </row>
    <row r="9" spans="1:5" x14ac:dyDescent="0.35">
      <c r="A9" t="s">
        <v>7</v>
      </c>
      <c r="B9">
        <f>ANTIPASTI!F212</f>
        <v>6</v>
      </c>
      <c r="C9">
        <f>6*B9</f>
        <v>36</v>
      </c>
    </row>
    <row r="10" spans="1:5" x14ac:dyDescent="0.35">
      <c r="A10" t="s">
        <v>8</v>
      </c>
      <c r="B10">
        <f>ANTIPASTI!F213</f>
        <v>1</v>
      </c>
      <c r="C10">
        <f>7*B10</f>
        <v>7</v>
      </c>
    </row>
    <row r="11" spans="1:5" x14ac:dyDescent="0.35">
      <c r="A11" t="s">
        <v>9</v>
      </c>
      <c r="B11">
        <f>ANTIPASTI!F214</f>
        <v>4</v>
      </c>
      <c r="C11">
        <f>8*B11</f>
        <v>32</v>
      </c>
    </row>
    <row r="12" spans="1:5" x14ac:dyDescent="0.35">
      <c r="A12" t="s">
        <v>10</v>
      </c>
      <c r="B12">
        <f>ANTIPASTI!F215</f>
        <v>1</v>
      </c>
      <c r="C12">
        <f>9*B12</f>
        <v>9</v>
      </c>
    </row>
    <row r="13" spans="1:5" x14ac:dyDescent="0.35">
      <c r="A13" t="s">
        <v>11</v>
      </c>
      <c r="B13">
        <f>ANTIPASTI!F216</f>
        <v>2</v>
      </c>
      <c r="C13">
        <f>10*B13</f>
        <v>20</v>
      </c>
    </row>
    <row r="14" spans="1:5" x14ac:dyDescent="0.35">
      <c r="A14" t="s">
        <v>12</v>
      </c>
      <c r="B14">
        <f>ANTIPASTI!F217</f>
        <v>0</v>
      </c>
      <c r="C14">
        <f>11*B14</f>
        <v>0</v>
      </c>
    </row>
    <row r="15" spans="1:5" x14ac:dyDescent="0.35">
      <c r="A15" t="s">
        <v>13</v>
      </c>
      <c r="B15">
        <f>ANTIPASTI!F218</f>
        <v>0</v>
      </c>
      <c r="C15">
        <f>12*B15</f>
        <v>0</v>
      </c>
    </row>
    <row r="16" spans="1:5" x14ac:dyDescent="0.35">
      <c r="A16" t="s">
        <v>14</v>
      </c>
      <c r="B16">
        <f>ANTIPASTI!F219</f>
        <v>0</v>
      </c>
      <c r="C16">
        <f>13*B16</f>
        <v>0</v>
      </c>
    </row>
    <row r="17" spans="1:3" x14ac:dyDescent="0.35">
      <c r="A17" t="s">
        <v>15</v>
      </c>
      <c r="B17">
        <f>ANTIPASTI!F220</f>
        <v>0</v>
      </c>
      <c r="C17">
        <f>14*B17</f>
        <v>0</v>
      </c>
    </row>
    <row r="18" spans="1:3" x14ac:dyDescent="0.35">
      <c r="A18" t="s">
        <v>16</v>
      </c>
      <c r="B18">
        <f>ANTIPASTI!F221</f>
        <v>0</v>
      </c>
      <c r="C18">
        <f>15*B18</f>
        <v>0</v>
      </c>
    </row>
    <row r="19" spans="1:3" x14ac:dyDescent="0.35">
      <c r="A19" t="s">
        <v>17</v>
      </c>
      <c r="B19">
        <f>ANTIPASTI!F222</f>
        <v>0</v>
      </c>
      <c r="C19">
        <f>16*B19</f>
        <v>0</v>
      </c>
    </row>
    <row r="20" spans="1:3" x14ac:dyDescent="0.35">
      <c r="A20" t="s">
        <v>73</v>
      </c>
      <c r="B20">
        <f>ANTIPASTI!F223</f>
        <v>0</v>
      </c>
      <c r="C20">
        <f>17*B20</f>
        <v>0</v>
      </c>
    </row>
    <row r="21" spans="1:3" x14ac:dyDescent="0.35">
      <c r="A21" t="s">
        <v>74</v>
      </c>
      <c r="B21">
        <f>ANTIPASTI!F224</f>
        <v>0</v>
      </c>
      <c r="C21">
        <f>18*B21</f>
        <v>0</v>
      </c>
    </row>
    <row r="22" spans="1:3" x14ac:dyDescent="0.35">
      <c r="A22" t="s">
        <v>75</v>
      </c>
      <c r="B22">
        <f>ANTIPASTI!F225</f>
        <v>0</v>
      </c>
      <c r="C22">
        <f>19*B22</f>
        <v>0</v>
      </c>
    </row>
    <row r="23" spans="1:3" x14ac:dyDescent="0.35">
      <c r="A23" t="s">
        <v>76</v>
      </c>
      <c r="B23">
        <f>ANTIPASTI!F226</f>
        <v>0</v>
      </c>
      <c r="C23">
        <f>20*B23</f>
        <v>0</v>
      </c>
    </row>
    <row r="24" spans="1:3" x14ac:dyDescent="0.35">
      <c r="A24" t="s">
        <v>77</v>
      </c>
      <c r="B24">
        <f>ANTIPASTI!F227</f>
        <v>0</v>
      </c>
      <c r="C24">
        <f>21*B24</f>
        <v>0</v>
      </c>
    </row>
    <row r="25" spans="1:3" x14ac:dyDescent="0.35">
      <c r="A25" t="s">
        <v>78</v>
      </c>
      <c r="B25">
        <f>ANTIPASTI!F228</f>
        <v>0</v>
      </c>
      <c r="C25">
        <f>22*B25</f>
        <v>0</v>
      </c>
    </row>
    <row r="26" spans="1:3" x14ac:dyDescent="0.35">
      <c r="A26" t="s">
        <v>79</v>
      </c>
      <c r="B26">
        <f>ANTIPASTI!F229</f>
        <v>0</v>
      </c>
      <c r="C26">
        <f>23*B26</f>
        <v>0</v>
      </c>
    </row>
    <row r="27" spans="1:3" x14ac:dyDescent="0.35">
      <c r="A27" t="s">
        <v>80</v>
      </c>
      <c r="B27">
        <f>ANTIPASTI!F230</f>
        <v>0</v>
      </c>
      <c r="C27">
        <f>24*B27</f>
        <v>0</v>
      </c>
    </row>
    <row r="28" spans="1:3" x14ac:dyDescent="0.35">
      <c r="A28" t="s">
        <v>81</v>
      </c>
      <c r="B28">
        <f>ANTIPASTI!F231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219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"/>
  <sheetViews>
    <sheetView topLeftCell="A11" workbookViewId="0">
      <selection activeCell="D20" sqref="A1:D20"/>
    </sheetView>
  </sheetViews>
  <sheetFormatPr defaultRowHeight="14.5" x14ac:dyDescent="0.35"/>
  <sheetData>
    <row r="1" spans="1:5" ht="33.5" customHeight="1" x14ac:dyDescent="0.35">
      <c r="A1" s="22" t="s">
        <v>33</v>
      </c>
      <c r="B1" s="22"/>
      <c r="C1" s="22"/>
      <c r="D1" s="22"/>
      <c r="E1" s="1"/>
    </row>
    <row r="4" spans="1:5" x14ac:dyDescent="0.35">
      <c r="A4" t="s">
        <v>2</v>
      </c>
      <c r="B4">
        <f>ANTIPASTI!G207</f>
        <v>9</v>
      </c>
      <c r="C4">
        <f>1*B4</f>
        <v>9</v>
      </c>
    </row>
    <row r="5" spans="1:5" x14ac:dyDescent="0.35">
      <c r="A5" t="s">
        <v>3</v>
      </c>
      <c r="B5">
        <f>ANTIPASTI!G208</f>
        <v>12</v>
      </c>
      <c r="C5">
        <f>2*B5</f>
        <v>24</v>
      </c>
    </row>
    <row r="6" spans="1:5" x14ac:dyDescent="0.35">
      <c r="A6" t="s">
        <v>4</v>
      </c>
      <c r="B6">
        <f>ANTIPASTI!G209</f>
        <v>4</v>
      </c>
      <c r="C6">
        <f>3*B6</f>
        <v>12</v>
      </c>
    </row>
    <row r="7" spans="1:5" x14ac:dyDescent="0.35">
      <c r="A7" t="s">
        <v>5</v>
      </c>
      <c r="B7">
        <f>ANTIPASTI!G210</f>
        <v>1</v>
      </c>
      <c r="C7">
        <f>4*B7</f>
        <v>4</v>
      </c>
    </row>
    <row r="8" spans="1:5" x14ac:dyDescent="0.35">
      <c r="A8" t="s">
        <v>6</v>
      </c>
      <c r="B8">
        <f>ANTIPASTI!G211</f>
        <v>1</v>
      </c>
      <c r="C8">
        <f>5*B8</f>
        <v>5</v>
      </c>
    </row>
    <row r="9" spans="1:5" x14ac:dyDescent="0.35">
      <c r="A9" t="s">
        <v>7</v>
      </c>
      <c r="B9">
        <f>ANTIPASTI!G212</f>
        <v>2</v>
      </c>
      <c r="C9">
        <f>6*B9</f>
        <v>12</v>
      </c>
    </row>
    <row r="10" spans="1:5" x14ac:dyDescent="0.35">
      <c r="A10" t="s">
        <v>8</v>
      </c>
      <c r="B10">
        <f>ANTIPASTI!G213</f>
        <v>0</v>
      </c>
      <c r="C10">
        <f>7*B10</f>
        <v>0</v>
      </c>
    </row>
    <row r="11" spans="1:5" x14ac:dyDescent="0.35">
      <c r="A11" t="s">
        <v>9</v>
      </c>
      <c r="B11">
        <f>ANTIPASTI!G214</f>
        <v>0</v>
      </c>
      <c r="C11">
        <f>8*B11</f>
        <v>0</v>
      </c>
    </row>
    <row r="12" spans="1:5" x14ac:dyDescent="0.35">
      <c r="A12" t="s">
        <v>10</v>
      </c>
      <c r="B12">
        <f>ANTIPASTI!G215</f>
        <v>0</v>
      </c>
      <c r="C12">
        <f>9*B12</f>
        <v>0</v>
      </c>
    </row>
    <row r="13" spans="1:5" x14ac:dyDescent="0.35">
      <c r="A13" t="s">
        <v>11</v>
      </c>
      <c r="B13">
        <f>ANTIPASTI!G216</f>
        <v>0</v>
      </c>
      <c r="C13">
        <f>10*B13</f>
        <v>0</v>
      </c>
    </row>
    <row r="14" spans="1:5" x14ac:dyDescent="0.35">
      <c r="A14" t="s">
        <v>12</v>
      </c>
      <c r="B14">
        <f>ANTIPASTI!G217</f>
        <v>0</v>
      </c>
      <c r="C14">
        <f>11*B14</f>
        <v>0</v>
      </c>
    </row>
    <row r="15" spans="1:5" x14ac:dyDescent="0.35">
      <c r="A15" t="s">
        <v>13</v>
      </c>
      <c r="B15">
        <f>ANTIPASTI!G218</f>
        <v>0</v>
      </c>
      <c r="C15">
        <f>12*B15</f>
        <v>0</v>
      </c>
    </row>
    <row r="16" spans="1:5" x14ac:dyDescent="0.35">
      <c r="A16" t="s">
        <v>14</v>
      </c>
      <c r="B16">
        <f>ANTIPASTI!G219</f>
        <v>0</v>
      </c>
      <c r="C16">
        <f>13*B16</f>
        <v>0</v>
      </c>
    </row>
    <row r="17" spans="1:3" x14ac:dyDescent="0.35">
      <c r="A17" t="s">
        <v>15</v>
      </c>
      <c r="B17">
        <f>ANTIPASTI!G220</f>
        <v>0</v>
      </c>
      <c r="C17">
        <f>14*B17</f>
        <v>0</v>
      </c>
    </row>
    <row r="18" spans="1:3" x14ac:dyDescent="0.35">
      <c r="A18" t="s">
        <v>16</v>
      </c>
      <c r="B18">
        <f>ANTIPASTI!G221</f>
        <v>0</v>
      </c>
      <c r="C18">
        <f>15*B18</f>
        <v>0</v>
      </c>
    </row>
    <row r="19" spans="1:3" x14ac:dyDescent="0.35">
      <c r="A19" t="s">
        <v>17</v>
      </c>
      <c r="B19">
        <f>ANTIPASTI!G222</f>
        <v>0</v>
      </c>
      <c r="C19">
        <f>16*B19</f>
        <v>0</v>
      </c>
    </row>
    <row r="20" spans="1:3" x14ac:dyDescent="0.35">
      <c r="B20" s="6" t="s">
        <v>1</v>
      </c>
      <c r="C20" s="6">
        <f>SUM(C4:C19)</f>
        <v>66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9"/>
  <sheetViews>
    <sheetView topLeftCell="A20" workbookViewId="0">
      <selection activeCell="D29" sqref="A1:D29"/>
    </sheetView>
  </sheetViews>
  <sheetFormatPr defaultRowHeight="14.5" x14ac:dyDescent="0.35"/>
  <sheetData>
    <row r="1" spans="1:4" ht="36" customHeight="1" x14ac:dyDescent="0.35">
      <c r="A1" s="22" t="s">
        <v>34</v>
      </c>
      <c r="B1" s="22"/>
      <c r="C1" s="22"/>
      <c r="D1" s="22"/>
    </row>
    <row r="4" spans="1:4" x14ac:dyDescent="0.35">
      <c r="A4" t="s">
        <v>2</v>
      </c>
      <c r="B4">
        <f>ANTIPASTI!H207</f>
        <v>4</v>
      </c>
      <c r="C4">
        <f>1*B4</f>
        <v>4</v>
      </c>
    </row>
    <row r="5" spans="1:4" x14ac:dyDescent="0.35">
      <c r="A5" t="s">
        <v>3</v>
      </c>
      <c r="B5">
        <f>ANTIPASTI!H208</f>
        <v>20</v>
      </c>
      <c r="C5">
        <f>2*B5</f>
        <v>40</v>
      </c>
    </row>
    <row r="6" spans="1:4" x14ac:dyDescent="0.35">
      <c r="A6" t="s">
        <v>4</v>
      </c>
      <c r="B6">
        <f>ANTIPASTI!H209</f>
        <v>11</v>
      </c>
      <c r="C6">
        <f>3*B6</f>
        <v>33</v>
      </c>
    </row>
    <row r="7" spans="1:4" x14ac:dyDescent="0.35">
      <c r="A7" t="s">
        <v>5</v>
      </c>
      <c r="B7">
        <f>ANTIPASTI!H210</f>
        <v>7</v>
      </c>
      <c r="C7">
        <f>4*B7</f>
        <v>28</v>
      </c>
    </row>
    <row r="8" spans="1:4" x14ac:dyDescent="0.35">
      <c r="A8" t="s">
        <v>6</v>
      </c>
      <c r="B8">
        <f>ANTIPASTI!H211</f>
        <v>3</v>
      </c>
      <c r="C8">
        <f>5*B8</f>
        <v>15</v>
      </c>
    </row>
    <row r="9" spans="1:4" x14ac:dyDescent="0.35">
      <c r="A9" t="s">
        <v>7</v>
      </c>
      <c r="B9">
        <f>ANTIPASTI!H212</f>
        <v>3</v>
      </c>
      <c r="C9">
        <f>6*B9</f>
        <v>18</v>
      </c>
    </row>
    <row r="10" spans="1:4" x14ac:dyDescent="0.35">
      <c r="A10" t="s">
        <v>8</v>
      </c>
      <c r="B10">
        <f>ANTIPASTI!H213</f>
        <v>1</v>
      </c>
      <c r="C10">
        <f>7*B10</f>
        <v>7</v>
      </c>
    </row>
    <row r="11" spans="1:4" x14ac:dyDescent="0.35">
      <c r="A11" t="s">
        <v>9</v>
      </c>
      <c r="B11">
        <f>ANTIPASTI!H214</f>
        <v>2</v>
      </c>
      <c r="C11">
        <f>8*B11</f>
        <v>16</v>
      </c>
    </row>
    <row r="12" spans="1:4" x14ac:dyDescent="0.35">
      <c r="A12" t="s">
        <v>10</v>
      </c>
      <c r="B12">
        <f>ANTIPASTI!H215</f>
        <v>0</v>
      </c>
      <c r="C12">
        <f>9*B12</f>
        <v>0</v>
      </c>
    </row>
    <row r="13" spans="1:4" x14ac:dyDescent="0.35">
      <c r="A13" t="s">
        <v>11</v>
      </c>
      <c r="B13">
        <f>ANTIPASTI!H216</f>
        <v>2</v>
      </c>
      <c r="C13">
        <f>10*B13</f>
        <v>20</v>
      </c>
    </row>
    <row r="14" spans="1:4" x14ac:dyDescent="0.35">
      <c r="A14" t="s">
        <v>12</v>
      </c>
      <c r="B14">
        <f>ANTIPASTI!H217</f>
        <v>0</v>
      </c>
      <c r="C14">
        <f>11*B14</f>
        <v>0</v>
      </c>
    </row>
    <row r="15" spans="1:4" x14ac:dyDescent="0.35">
      <c r="A15" t="s">
        <v>13</v>
      </c>
      <c r="B15">
        <f>ANTIPASTI!H218</f>
        <v>1</v>
      </c>
      <c r="C15">
        <f>12*B15</f>
        <v>12</v>
      </c>
    </row>
    <row r="16" spans="1:4" x14ac:dyDescent="0.35">
      <c r="A16" t="s">
        <v>14</v>
      </c>
      <c r="B16">
        <f>ANTIPASTI!H219</f>
        <v>0</v>
      </c>
      <c r="C16">
        <f>13*B16</f>
        <v>0</v>
      </c>
    </row>
    <row r="17" spans="1:3" x14ac:dyDescent="0.35">
      <c r="A17" t="s">
        <v>15</v>
      </c>
      <c r="B17">
        <f>ANTIPASTI!H220</f>
        <v>0</v>
      </c>
      <c r="C17">
        <f>14*B17</f>
        <v>0</v>
      </c>
    </row>
    <row r="18" spans="1:3" x14ac:dyDescent="0.35">
      <c r="A18" t="s">
        <v>16</v>
      </c>
      <c r="B18">
        <f>ANTIPASTI!H221</f>
        <v>0</v>
      </c>
      <c r="C18">
        <f>15*B18</f>
        <v>0</v>
      </c>
    </row>
    <row r="19" spans="1:3" x14ac:dyDescent="0.35">
      <c r="A19" t="s">
        <v>17</v>
      </c>
      <c r="B19">
        <f>ANTIPASTI!H222</f>
        <v>0</v>
      </c>
      <c r="C19">
        <f>16*B19</f>
        <v>0</v>
      </c>
    </row>
    <row r="20" spans="1:3" x14ac:dyDescent="0.35">
      <c r="A20" t="s">
        <v>73</v>
      </c>
      <c r="B20">
        <f>ANTIPASTI!H223</f>
        <v>0</v>
      </c>
      <c r="C20">
        <f>17*B20</f>
        <v>0</v>
      </c>
    </row>
    <row r="21" spans="1:3" x14ac:dyDescent="0.35">
      <c r="A21" t="s">
        <v>74</v>
      </c>
      <c r="B21">
        <f>ANTIPASTI!H224</f>
        <v>0</v>
      </c>
      <c r="C21">
        <f>18*B21</f>
        <v>0</v>
      </c>
    </row>
    <row r="22" spans="1:3" x14ac:dyDescent="0.35">
      <c r="A22" t="s">
        <v>75</v>
      </c>
      <c r="B22">
        <f>ANTIPASTI!H225</f>
        <v>0</v>
      </c>
      <c r="C22">
        <f>19*B22</f>
        <v>0</v>
      </c>
    </row>
    <row r="23" spans="1:3" x14ac:dyDescent="0.35">
      <c r="A23" t="s">
        <v>76</v>
      </c>
      <c r="B23">
        <f>ANTIPASTI!H226</f>
        <v>0</v>
      </c>
      <c r="C23">
        <f>20*B23</f>
        <v>0</v>
      </c>
    </row>
    <row r="24" spans="1:3" x14ac:dyDescent="0.35">
      <c r="A24" t="s">
        <v>77</v>
      </c>
      <c r="B24">
        <f>ANTIPASTI!H227</f>
        <v>0</v>
      </c>
      <c r="C24">
        <f>21*B24</f>
        <v>0</v>
      </c>
    </row>
    <row r="25" spans="1:3" x14ac:dyDescent="0.35">
      <c r="A25" t="s">
        <v>78</v>
      </c>
      <c r="B25">
        <f>ANTIPASTI!H228</f>
        <v>0</v>
      </c>
      <c r="C25">
        <f>22*B25</f>
        <v>0</v>
      </c>
    </row>
    <row r="26" spans="1:3" x14ac:dyDescent="0.35">
      <c r="A26" t="s">
        <v>79</v>
      </c>
      <c r="B26">
        <f>ANTIPASTI!H229</f>
        <v>0</v>
      </c>
      <c r="C26">
        <f>23*B26</f>
        <v>0</v>
      </c>
    </row>
    <row r="27" spans="1:3" x14ac:dyDescent="0.35">
      <c r="A27" t="s">
        <v>80</v>
      </c>
      <c r="B27">
        <f>ANTIPASTI!H230</f>
        <v>0</v>
      </c>
      <c r="C27">
        <f>24*B27</f>
        <v>0</v>
      </c>
    </row>
    <row r="28" spans="1:3" x14ac:dyDescent="0.35">
      <c r="A28" t="s">
        <v>81</v>
      </c>
      <c r="B28">
        <f>ANTIPASTI!H231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193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topLeftCell="A13" workbookViewId="0">
      <selection activeCell="D22" sqref="A1:D22"/>
    </sheetView>
  </sheetViews>
  <sheetFormatPr defaultRowHeight="14.5" x14ac:dyDescent="0.35"/>
  <sheetData>
    <row r="1" spans="1:4" ht="45" customHeight="1" x14ac:dyDescent="0.35">
      <c r="A1" s="22" t="s">
        <v>95</v>
      </c>
      <c r="B1" s="22"/>
      <c r="C1" s="22"/>
      <c r="D1" s="22"/>
    </row>
    <row r="4" spans="1:4" x14ac:dyDescent="0.35">
      <c r="A4" t="s">
        <v>2</v>
      </c>
      <c r="B4">
        <f>ANTIPASTI!I207</f>
        <v>8</v>
      </c>
      <c r="C4">
        <f>1*B4</f>
        <v>8</v>
      </c>
    </row>
    <row r="5" spans="1:4" x14ac:dyDescent="0.35">
      <c r="A5" t="s">
        <v>3</v>
      </c>
      <c r="B5">
        <f>ANTIPASTI!I208</f>
        <v>14</v>
      </c>
      <c r="C5">
        <f>2*B5</f>
        <v>28</v>
      </c>
    </row>
    <row r="6" spans="1:4" x14ac:dyDescent="0.35">
      <c r="A6" t="s">
        <v>4</v>
      </c>
      <c r="B6">
        <f>ANTIPASTI!I209</f>
        <v>10</v>
      </c>
      <c r="C6">
        <f>3*B6</f>
        <v>30</v>
      </c>
    </row>
    <row r="7" spans="1:4" x14ac:dyDescent="0.35">
      <c r="A7" t="s">
        <v>5</v>
      </c>
      <c r="B7">
        <f>ANTIPASTI!I210</f>
        <v>3</v>
      </c>
      <c r="C7">
        <f>4*B7</f>
        <v>12</v>
      </c>
    </row>
    <row r="8" spans="1:4" x14ac:dyDescent="0.35">
      <c r="A8" t="s">
        <v>6</v>
      </c>
      <c r="B8">
        <f>ANTIPASTI!I211</f>
        <v>1</v>
      </c>
      <c r="C8">
        <f>5*B8</f>
        <v>5</v>
      </c>
    </row>
    <row r="9" spans="1:4" x14ac:dyDescent="0.35">
      <c r="A9" t="s">
        <v>7</v>
      </c>
      <c r="B9">
        <f>ANTIPASTI!I212</f>
        <v>1</v>
      </c>
      <c r="C9">
        <f>6*B9</f>
        <v>6</v>
      </c>
    </row>
    <row r="10" spans="1:4" x14ac:dyDescent="0.35">
      <c r="A10" t="s">
        <v>8</v>
      </c>
      <c r="B10">
        <f>ANTIPASTI!I213</f>
        <v>0</v>
      </c>
      <c r="C10">
        <f>7*B10</f>
        <v>0</v>
      </c>
    </row>
    <row r="11" spans="1:4" x14ac:dyDescent="0.35">
      <c r="A11" t="s">
        <v>9</v>
      </c>
      <c r="B11">
        <f>ANTIPASTI!I214</f>
        <v>2</v>
      </c>
      <c r="C11">
        <f>8*B11</f>
        <v>16</v>
      </c>
    </row>
    <row r="12" spans="1:4" x14ac:dyDescent="0.35">
      <c r="A12" t="s">
        <v>10</v>
      </c>
      <c r="B12">
        <f>ANTIPASTI!I215</f>
        <v>1</v>
      </c>
      <c r="C12">
        <f>9*B12</f>
        <v>9</v>
      </c>
    </row>
    <row r="13" spans="1:4" x14ac:dyDescent="0.35">
      <c r="A13" t="s">
        <v>11</v>
      </c>
      <c r="B13">
        <f>ANTIPASTI!I216</f>
        <v>0</v>
      </c>
      <c r="C13">
        <f>10*B13</f>
        <v>0</v>
      </c>
    </row>
    <row r="14" spans="1:4" x14ac:dyDescent="0.35">
      <c r="A14" t="s">
        <v>12</v>
      </c>
      <c r="B14">
        <f>ANTIPASTI!I217</f>
        <v>0</v>
      </c>
      <c r="C14">
        <f>11*B14</f>
        <v>0</v>
      </c>
    </row>
    <row r="15" spans="1:4" x14ac:dyDescent="0.35">
      <c r="A15" t="s">
        <v>13</v>
      </c>
      <c r="B15">
        <f>ANTIPASTI!I218</f>
        <v>0</v>
      </c>
      <c r="C15">
        <f>12*B15</f>
        <v>0</v>
      </c>
    </row>
    <row r="16" spans="1:4" x14ac:dyDescent="0.35">
      <c r="A16" t="s">
        <v>14</v>
      </c>
      <c r="B16">
        <f>ANTIPASTI!I219</f>
        <v>0</v>
      </c>
      <c r="C16">
        <f>13*B16</f>
        <v>0</v>
      </c>
    </row>
    <row r="17" spans="1:3" x14ac:dyDescent="0.35">
      <c r="A17" t="s">
        <v>15</v>
      </c>
      <c r="B17">
        <f>ANTIPASTI!I220</f>
        <v>0</v>
      </c>
      <c r="C17">
        <f>14*B17</f>
        <v>0</v>
      </c>
    </row>
    <row r="18" spans="1:3" x14ac:dyDescent="0.35">
      <c r="A18" t="s">
        <v>16</v>
      </c>
      <c r="B18">
        <f>ANTIPASTI!I221</f>
        <v>0</v>
      </c>
      <c r="C18">
        <f>15*B18</f>
        <v>0</v>
      </c>
    </row>
    <row r="19" spans="1:3" x14ac:dyDescent="0.35">
      <c r="A19" t="s">
        <v>17</v>
      </c>
      <c r="B19">
        <f>ANTIPASTI!I222</f>
        <v>0</v>
      </c>
      <c r="C19">
        <f>16*B19</f>
        <v>0</v>
      </c>
    </row>
    <row r="20" spans="1:3" x14ac:dyDescent="0.35">
      <c r="A20" t="s">
        <v>73</v>
      </c>
      <c r="B20">
        <f>ANTIPASTI!I223</f>
        <v>0</v>
      </c>
      <c r="C20">
        <f>17*B20</f>
        <v>0</v>
      </c>
    </row>
    <row r="21" spans="1:3" x14ac:dyDescent="0.35">
      <c r="A21" t="s">
        <v>74</v>
      </c>
      <c r="B21">
        <f>ANTIPASTI!I224</f>
        <v>0</v>
      </c>
      <c r="C21">
        <f>18*B21</f>
        <v>0</v>
      </c>
    </row>
    <row r="22" spans="1:3" x14ac:dyDescent="0.35">
      <c r="B22" s="6" t="s">
        <v>1</v>
      </c>
      <c r="C22" s="6">
        <f>SUM(C4:C21)</f>
        <v>114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topLeftCell="A12" workbookViewId="0">
      <selection activeCell="D21" sqref="A1:D21"/>
    </sheetView>
  </sheetViews>
  <sheetFormatPr defaultRowHeight="14.5" x14ac:dyDescent="0.35"/>
  <sheetData>
    <row r="1" spans="1:4" ht="34.5" customHeight="1" x14ac:dyDescent="0.35">
      <c r="A1" s="22" t="s">
        <v>35</v>
      </c>
      <c r="B1" s="22"/>
      <c r="C1" s="22"/>
      <c r="D1" s="22"/>
    </row>
    <row r="4" spans="1:4" x14ac:dyDescent="0.35">
      <c r="A4" t="s">
        <v>2</v>
      </c>
      <c r="B4">
        <f>ANTIPASTI!J207</f>
        <v>8</v>
      </c>
      <c r="C4">
        <f>1*B4</f>
        <v>8</v>
      </c>
    </row>
    <row r="5" spans="1:4" x14ac:dyDescent="0.35">
      <c r="A5" t="s">
        <v>3</v>
      </c>
      <c r="B5">
        <f>ANTIPASTI!J208</f>
        <v>15</v>
      </c>
      <c r="C5">
        <f>2*B5</f>
        <v>30</v>
      </c>
    </row>
    <row r="6" spans="1:4" x14ac:dyDescent="0.35">
      <c r="A6" t="s">
        <v>4</v>
      </c>
      <c r="B6">
        <f>ANTIPASTI!J209</f>
        <v>7</v>
      </c>
      <c r="C6">
        <f>3*B6</f>
        <v>21</v>
      </c>
    </row>
    <row r="7" spans="1:4" x14ac:dyDescent="0.35">
      <c r="A7" t="s">
        <v>5</v>
      </c>
      <c r="B7">
        <f>ANTIPASTI!J210</f>
        <v>8</v>
      </c>
      <c r="C7">
        <f>4*B7</f>
        <v>32</v>
      </c>
    </row>
    <row r="8" spans="1:4" x14ac:dyDescent="0.35">
      <c r="A8" t="s">
        <v>6</v>
      </c>
      <c r="B8">
        <f>ANTIPASTI!J211</f>
        <v>2</v>
      </c>
      <c r="C8">
        <f>5*B8</f>
        <v>10</v>
      </c>
    </row>
    <row r="9" spans="1:4" x14ac:dyDescent="0.35">
      <c r="A9" t="s">
        <v>7</v>
      </c>
      <c r="B9">
        <f>ANTIPASTI!J212</f>
        <v>0</v>
      </c>
      <c r="C9">
        <f>6*B9</f>
        <v>0</v>
      </c>
    </row>
    <row r="10" spans="1:4" x14ac:dyDescent="0.35">
      <c r="A10" t="s">
        <v>8</v>
      </c>
      <c r="B10">
        <f>ANTIPASTI!J213</f>
        <v>0</v>
      </c>
      <c r="C10">
        <f>7*B10</f>
        <v>0</v>
      </c>
    </row>
    <row r="11" spans="1:4" x14ac:dyDescent="0.35">
      <c r="A11" t="s">
        <v>9</v>
      </c>
      <c r="B11">
        <f>ANTIPASTI!J214</f>
        <v>2</v>
      </c>
      <c r="C11">
        <f>8*B11</f>
        <v>16</v>
      </c>
    </row>
    <row r="12" spans="1:4" x14ac:dyDescent="0.35">
      <c r="A12" t="s">
        <v>10</v>
      </c>
      <c r="B12">
        <f>ANTIPASTI!J215</f>
        <v>0</v>
      </c>
      <c r="C12">
        <f>9*B12</f>
        <v>0</v>
      </c>
    </row>
    <row r="13" spans="1:4" x14ac:dyDescent="0.35">
      <c r="A13" t="s">
        <v>11</v>
      </c>
      <c r="B13">
        <f>ANTIPASTI!J216</f>
        <v>3</v>
      </c>
      <c r="C13">
        <f>10*B13</f>
        <v>30</v>
      </c>
    </row>
    <row r="14" spans="1:4" x14ac:dyDescent="0.35">
      <c r="A14" t="s">
        <v>12</v>
      </c>
      <c r="B14">
        <f>ANTIPASTI!J217</f>
        <v>0</v>
      </c>
      <c r="C14">
        <f>11*B14</f>
        <v>0</v>
      </c>
    </row>
    <row r="15" spans="1:4" x14ac:dyDescent="0.35">
      <c r="A15" t="s">
        <v>13</v>
      </c>
      <c r="B15">
        <f>ANTIPASTI!J218</f>
        <v>0</v>
      </c>
      <c r="C15">
        <f>12*B15</f>
        <v>0</v>
      </c>
    </row>
    <row r="16" spans="1:4" x14ac:dyDescent="0.35">
      <c r="A16" t="s">
        <v>14</v>
      </c>
      <c r="B16">
        <f>ANTIPASTI!J219</f>
        <v>0</v>
      </c>
      <c r="C16">
        <f>13*B16</f>
        <v>0</v>
      </c>
    </row>
    <row r="17" spans="1:3" x14ac:dyDescent="0.35">
      <c r="A17" t="s">
        <v>15</v>
      </c>
      <c r="B17">
        <f>ANTIPASTI!J220</f>
        <v>0</v>
      </c>
      <c r="C17">
        <f>14*B17</f>
        <v>0</v>
      </c>
    </row>
    <row r="18" spans="1:3" x14ac:dyDescent="0.35">
      <c r="A18" t="s">
        <v>16</v>
      </c>
      <c r="B18">
        <f>ANTIPASTI!J221</f>
        <v>0</v>
      </c>
      <c r="C18">
        <f>15*B18</f>
        <v>0</v>
      </c>
    </row>
    <row r="19" spans="1:3" x14ac:dyDescent="0.35">
      <c r="A19" t="s">
        <v>17</v>
      </c>
      <c r="B19">
        <f>ANTIPASTI!J222</f>
        <v>0</v>
      </c>
      <c r="C19">
        <f>16*B19</f>
        <v>0</v>
      </c>
    </row>
    <row r="20" spans="1:3" x14ac:dyDescent="0.35">
      <c r="A20" t="s">
        <v>73</v>
      </c>
      <c r="B20">
        <f>ANTIPASTI!J223</f>
        <v>0</v>
      </c>
      <c r="C20">
        <f>17*B20</f>
        <v>0</v>
      </c>
    </row>
    <row r="21" spans="1:3" x14ac:dyDescent="0.35">
      <c r="B21" s="6" t="s">
        <v>1</v>
      </c>
      <c r="C21" s="6">
        <f>SUM(C4:C20)</f>
        <v>147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5" customHeight="1" x14ac:dyDescent="0.35">
      <c r="A1" s="22" t="s">
        <v>36</v>
      </c>
      <c r="B1" s="22"/>
      <c r="C1" s="22"/>
      <c r="D1" s="22"/>
    </row>
    <row r="4" spans="1:4" x14ac:dyDescent="0.35">
      <c r="A4" t="s">
        <v>2</v>
      </c>
      <c r="B4">
        <f>ANTIPASTI!K207</f>
        <v>3</v>
      </c>
      <c r="C4">
        <f>1*B4</f>
        <v>3</v>
      </c>
    </row>
    <row r="5" spans="1:4" x14ac:dyDescent="0.35">
      <c r="A5" t="s">
        <v>3</v>
      </c>
      <c r="B5">
        <f>ANTIPASTI!K208</f>
        <v>6</v>
      </c>
      <c r="C5">
        <f>2*B5</f>
        <v>12</v>
      </c>
    </row>
    <row r="6" spans="1:4" x14ac:dyDescent="0.35">
      <c r="A6" t="s">
        <v>4</v>
      </c>
      <c r="B6">
        <f>ANTIPASTI!K209</f>
        <v>3</v>
      </c>
      <c r="C6">
        <f>3*B6</f>
        <v>9</v>
      </c>
    </row>
    <row r="7" spans="1:4" x14ac:dyDescent="0.35">
      <c r="A7" t="s">
        <v>5</v>
      </c>
      <c r="B7">
        <f>ANTIPASTI!K210</f>
        <v>8</v>
      </c>
      <c r="C7">
        <f>4*B7</f>
        <v>32</v>
      </c>
    </row>
    <row r="8" spans="1:4" x14ac:dyDescent="0.35">
      <c r="A8" t="s">
        <v>6</v>
      </c>
      <c r="B8">
        <f>ANTIPASTI!K211</f>
        <v>2</v>
      </c>
      <c r="C8">
        <f>5*B8</f>
        <v>10</v>
      </c>
    </row>
    <row r="9" spans="1:4" x14ac:dyDescent="0.35">
      <c r="A9" t="s">
        <v>7</v>
      </c>
      <c r="B9">
        <f>ANTIPASTI!K212</f>
        <v>3</v>
      </c>
      <c r="C9">
        <f>6*B9</f>
        <v>18</v>
      </c>
    </row>
    <row r="10" spans="1:4" x14ac:dyDescent="0.35">
      <c r="A10" t="s">
        <v>8</v>
      </c>
      <c r="B10">
        <f>ANTIPASTI!K213</f>
        <v>0</v>
      </c>
      <c r="C10">
        <f>7*B10</f>
        <v>0</v>
      </c>
    </row>
    <row r="11" spans="1:4" x14ac:dyDescent="0.35">
      <c r="A11" t="s">
        <v>9</v>
      </c>
      <c r="B11">
        <f>ANTIPASTI!K214</f>
        <v>3</v>
      </c>
      <c r="C11">
        <f>8*B11</f>
        <v>24</v>
      </c>
    </row>
    <row r="12" spans="1:4" x14ac:dyDescent="0.35">
      <c r="A12" t="s">
        <v>10</v>
      </c>
      <c r="B12">
        <f>ANTIPASTI!K215</f>
        <v>0</v>
      </c>
      <c r="C12">
        <f>9*B12</f>
        <v>0</v>
      </c>
    </row>
    <row r="13" spans="1:4" x14ac:dyDescent="0.35">
      <c r="A13" t="s">
        <v>11</v>
      </c>
      <c r="B13">
        <f>ANTIPASTI!K216</f>
        <v>0</v>
      </c>
      <c r="C13">
        <f>10*B13</f>
        <v>0</v>
      </c>
    </row>
    <row r="14" spans="1:4" x14ac:dyDescent="0.35">
      <c r="A14" t="s">
        <v>12</v>
      </c>
      <c r="B14">
        <f>ANTIPASTI!K217</f>
        <v>0</v>
      </c>
      <c r="C14">
        <f>11*B14</f>
        <v>0</v>
      </c>
    </row>
    <row r="15" spans="1:4" x14ac:dyDescent="0.35">
      <c r="A15" t="s">
        <v>13</v>
      </c>
      <c r="B15">
        <f>ANTIPASTI!K218</f>
        <v>0</v>
      </c>
      <c r="C15">
        <f>12*B15</f>
        <v>0</v>
      </c>
    </row>
    <row r="16" spans="1:4" x14ac:dyDescent="0.35">
      <c r="A16" t="s">
        <v>14</v>
      </c>
      <c r="B16">
        <f>ANTIPASTI!K219</f>
        <v>0</v>
      </c>
      <c r="C16">
        <f>13*B16</f>
        <v>0</v>
      </c>
    </row>
    <row r="17" spans="1:3" x14ac:dyDescent="0.35">
      <c r="A17" t="s">
        <v>15</v>
      </c>
      <c r="B17">
        <f>ANTIPASTI!K220</f>
        <v>0</v>
      </c>
      <c r="C17">
        <f>14*B17</f>
        <v>0</v>
      </c>
    </row>
    <row r="18" spans="1:3" x14ac:dyDescent="0.35">
      <c r="A18" t="s">
        <v>16</v>
      </c>
      <c r="B18">
        <f>ANTIPASTI!K221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108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9"/>
  <sheetViews>
    <sheetView topLeftCell="A4" workbookViewId="0">
      <selection activeCell="D29" sqref="A1:D29"/>
    </sheetView>
  </sheetViews>
  <sheetFormatPr defaultRowHeight="14.5" x14ac:dyDescent="0.35"/>
  <sheetData>
    <row r="1" spans="1:4" ht="31.5" customHeight="1" x14ac:dyDescent="0.35">
      <c r="A1" s="22" t="s">
        <v>37</v>
      </c>
      <c r="B1" s="22"/>
      <c r="C1" s="22"/>
      <c r="D1" s="22"/>
    </row>
    <row r="4" spans="1:4" x14ac:dyDescent="0.35">
      <c r="A4" t="s">
        <v>2</v>
      </c>
      <c r="B4">
        <f>ANTIPASTI!L207</f>
        <v>1</v>
      </c>
      <c r="C4">
        <f>1*B4</f>
        <v>1</v>
      </c>
    </row>
    <row r="5" spans="1:4" x14ac:dyDescent="0.35">
      <c r="A5" t="s">
        <v>3</v>
      </c>
      <c r="B5">
        <f>ANTIPASTI!L208</f>
        <v>6</v>
      </c>
      <c r="C5">
        <f>2*B5</f>
        <v>12</v>
      </c>
    </row>
    <row r="6" spans="1:4" x14ac:dyDescent="0.35">
      <c r="A6" t="s">
        <v>4</v>
      </c>
      <c r="B6">
        <f>ANTIPASTI!L209</f>
        <v>3</v>
      </c>
      <c r="C6">
        <f>3*B6</f>
        <v>9</v>
      </c>
    </row>
    <row r="7" spans="1:4" x14ac:dyDescent="0.35">
      <c r="A7" t="s">
        <v>5</v>
      </c>
      <c r="B7">
        <f>ANTIPASTI!L210</f>
        <v>4</v>
      </c>
      <c r="C7">
        <f>4*B7</f>
        <v>16</v>
      </c>
    </row>
    <row r="8" spans="1:4" x14ac:dyDescent="0.35">
      <c r="A8" t="s">
        <v>6</v>
      </c>
      <c r="B8">
        <f>ANTIPASTI!L211</f>
        <v>3</v>
      </c>
      <c r="C8">
        <f>5*B8</f>
        <v>15</v>
      </c>
    </row>
    <row r="9" spans="1:4" x14ac:dyDescent="0.35">
      <c r="A9" t="s">
        <v>7</v>
      </c>
      <c r="B9">
        <f>ANTIPASTI!L212</f>
        <v>6</v>
      </c>
      <c r="C9">
        <f>6*B9</f>
        <v>36</v>
      </c>
    </row>
    <row r="10" spans="1:4" x14ac:dyDescent="0.35">
      <c r="A10" t="s">
        <v>8</v>
      </c>
      <c r="B10">
        <f>ANTIPASTI!L213</f>
        <v>0</v>
      </c>
      <c r="C10">
        <f>7*B10</f>
        <v>0</v>
      </c>
    </row>
    <row r="11" spans="1:4" x14ac:dyDescent="0.35">
      <c r="A11" t="s">
        <v>9</v>
      </c>
      <c r="B11">
        <f>ANTIPASTI!L214</f>
        <v>1</v>
      </c>
      <c r="C11">
        <f>8*B11</f>
        <v>8</v>
      </c>
    </row>
    <row r="12" spans="1:4" x14ac:dyDescent="0.35">
      <c r="A12" t="s">
        <v>10</v>
      </c>
      <c r="B12">
        <f>ANTIPASTI!L215</f>
        <v>0</v>
      </c>
      <c r="C12">
        <f>9*B12</f>
        <v>0</v>
      </c>
    </row>
    <row r="13" spans="1:4" x14ac:dyDescent="0.35">
      <c r="A13" t="s">
        <v>11</v>
      </c>
      <c r="B13">
        <f>ANTIPASTI!L216</f>
        <v>2</v>
      </c>
      <c r="C13">
        <f>10*B13</f>
        <v>20</v>
      </c>
    </row>
    <row r="14" spans="1:4" x14ac:dyDescent="0.35">
      <c r="A14" t="s">
        <v>12</v>
      </c>
      <c r="B14">
        <f>ANTIPASTI!L217</f>
        <v>0</v>
      </c>
      <c r="C14">
        <f>11*B14</f>
        <v>0</v>
      </c>
    </row>
    <row r="15" spans="1:4" x14ac:dyDescent="0.35">
      <c r="A15" t="s">
        <v>13</v>
      </c>
      <c r="B15">
        <f>ANTIPASTI!L218</f>
        <v>0</v>
      </c>
      <c r="C15">
        <f>12*B15</f>
        <v>0</v>
      </c>
    </row>
    <row r="16" spans="1:4" x14ac:dyDescent="0.35">
      <c r="A16" t="s">
        <v>14</v>
      </c>
      <c r="B16">
        <f>ANTIPASTI!L219</f>
        <v>0</v>
      </c>
      <c r="C16">
        <f>13*B16</f>
        <v>0</v>
      </c>
    </row>
    <row r="17" spans="1:3" x14ac:dyDescent="0.35">
      <c r="A17" t="s">
        <v>15</v>
      </c>
      <c r="B17">
        <f>ANTIPASTI!L220</f>
        <v>0</v>
      </c>
      <c r="C17">
        <f>14*B17</f>
        <v>0</v>
      </c>
    </row>
    <row r="18" spans="1:3" x14ac:dyDescent="0.35">
      <c r="A18" t="s">
        <v>16</v>
      </c>
      <c r="B18">
        <f>ANTIPASTI!L221</f>
        <v>0</v>
      </c>
      <c r="C18">
        <f>15*B18</f>
        <v>0</v>
      </c>
    </row>
    <row r="19" spans="1:3" x14ac:dyDescent="0.35">
      <c r="A19" t="s">
        <v>17</v>
      </c>
      <c r="B19">
        <f>ANTIPASTI!L222</f>
        <v>0</v>
      </c>
      <c r="C19">
        <f>16*B19</f>
        <v>0</v>
      </c>
    </row>
    <row r="20" spans="1:3" x14ac:dyDescent="0.35">
      <c r="A20" t="s">
        <v>73</v>
      </c>
      <c r="B20">
        <f>ANTIPASTI!L223</f>
        <v>0</v>
      </c>
      <c r="C20">
        <f>17*B20</f>
        <v>0</v>
      </c>
    </row>
    <row r="21" spans="1:3" x14ac:dyDescent="0.35">
      <c r="A21" t="s">
        <v>74</v>
      </c>
      <c r="B21">
        <f>ANTIPASTI!L224</f>
        <v>0</v>
      </c>
      <c r="C21">
        <f>18*B21</f>
        <v>0</v>
      </c>
    </row>
    <row r="22" spans="1:3" x14ac:dyDescent="0.35">
      <c r="A22" t="s">
        <v>75</v>
      </c>
      <c r="B22">
        <f>ANTIPASTI!L225</f>
        <v>0</v>
      </c>
      <c r="C22">
        <f>19*B22</f>
        <v>0</v>
      </c>
    </row>
    <row r="23" spans="1:3" x14ac:dyDescent="0.35">
      <c r="A23" t="s">
        <v>76</v>
      </c>
      <c r="B23">
        <f>ANTIPASTI!L226</f>
        <v>0</v>
      </c>
      <c r="C23">
        <f>20*B23</f>
        <v>0</v>
      </c>
    </row>
    <row r="24" spans="1:3" x14ac:dyDescent="0.35">
      <c r="A24" t="s">
        <v>77</v>
      </c>
      <c r="B24">
        <f>ANTIPASTI!L227</f>
        <v>0</v>
      </c>
      <c r="C24">
        <f>21*B24</f>
        <v>0</v>
      </c>
    </row>
    <row r="25" spans="1:3" x14ac:dyDescent="0.35">
      <c r="A25" t="s">
        <v>78</v>
      </c>
      <c r="B25">
        <f>ANTIPASTI!L228</f>
        <v>0</v>
      </c>
      <c r="C25">
        <f>22*B25</f>
        <v>0</v>
      </c>
    </row>
    <row r="26" spans="1:3" x14ac:dyDescent="0.35">
      <c r="A26" t="s">
        <v>79</v>
      </c>
      <c r="B26">
        <f>ANTIPASTI!L229</f>
        <v>0</v>
      </c>
      <c r="C26">
        <f>23*B26</f>
        <v>0</v>
      </c>
    </row>
    <row r="27" spans="1:3" x14ac:dyDescent="0.35">
      <c r="A27" t="s">
        <v>80</v>
      </c>
      <c r="B27">
        <f>ANTIPASTI!L230</f>
        <v>0</v>
      </c>
      <c r="C27">
        <f>24*B27</f>
        <v>0</v>
      </c>
    </row>
    <row r="28" spans="1:3" x14ac:dyDescent="0.35">
      <c r="A28" t="s">
        <v>81</v>
      </c>
      <c r="B28">
        <f>ANTIPASTI!L231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117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"/>
  <sheetViews>
    <sheetView topLeftCell="A20" workbookViewId="0">
      <selection activeCell="D29" sqref="A1:D29"/>
    </sheetView>
  </sheetViews>
  <sheetFormatPr defaultRowHeight="14.5" x14ac:dyDescent="0.35"/>
  <sheetData>
    <row r="1" spans="1:4" ht="45" customHeight="1" x14ac:dyDescent="0.35">
      <c r="A1" s="22" t="s">
        <v>38</v>
      </c>
      <c r="B1" s="22"/>
      <c r="C1" s="22"/>
      <c r="D1" s="22"/>
    </row>
    <row r="4" spans="1:4" x14ac:dyDescent="0.35">
      <c r="A4" t="s">
        <v>2</v>
      </c>
      <c r="B4">
        <f>ANTIPASTI!M207</f>
        <v>3</v>
      </c>
      <c r="C4">
        <f>1*B4</f>
        <v>3</v>
      </c>
    </row>
    <row r="5" spans="1:4" x14ac:dyDescent="0.35">
      <c r="A5" t="s">
        <v>3</v>
      </c>
      <c r="B5">
        <f>ANTIPASTI!M208</f>
        <v>9</v>
      </c>
      <c r="C5">
        <f>2*B5</f>
        <v>18</v>
      </c>
    </row>
    <row r="6" spans="1:4" x14ac:dyDescent="0.35">
      <c r="A6" t="s">
        <v>4</v>
      </c>
      <c r="B6">
        <f>ANTIPASTI!M209</f>
        <v>3</v>
      </c>
      <c r="C6">
        <f>3*B6</f>
        <v>9</v>
      </c>
    </row>
    <row r="7" spans="1:4" x14ac:dyDescent="0.35">
      <c r="A7" t="s">
        <v>5</v>
      </c>
      <c r="B7">
        <f>ANTIPASTI!M210</f>
        <v>4</v>
      </c>
      <c r="C7">
        <f>4*B7</f>
        <v>16</v>
      </c>
    </row>
    <row r="8" spans="1:4" x14ac:dyDescent="0.35">
      <c r="A8" t="s">
        <v>6</v>
      </c>
      <c r="B8">
        <f>ANTIPASTI!M211</f>
        <v>4</v>
      </c>
      <c r="C8">
        <f>5*B8</f>
        <v>20</v>
      </c>
    </row>
    <row r="9" spans="1:4" x14ac:dyDescent="0.35">
      <c r="A9" t="s">
        <v>7</v>
      </c>
      <c r="B9">
        <f>ANTIPASTI!M212</f>
        <v>2</v>
      </c>
      <c r="C9">
        <f>6*B9</f>
        <v>12</v>
      </c>
    </row>
    <row r="10" spans="1:4" x14ac:dyDescent="0.35">
      <c r="A10" t="s">
        <v>8</v>
      </c>
      <c r="B10">
        <f>ANTIPASTI!M213</f>
        <v>0</v>
      </c>
      <c r="C10">
        <f>7*B10</f>
        <v>0</v>
      </c>
    </row>
    <row r="11" spans="1:4" x14ac:dyDescent="0.35">
      <c r="A11" t="s">
        <v>9</v>
      </c>
      <c r="B11">
        <f>ANTIPASTI!M214</f>
        <v>4</v>
      </c>
      <c r="C11">
        <f>8*B11</f>
        <v>32</v>
      </c>
    </row>
    <row r="12" spans="1:4" x14ac:dyDescent="0.35">
      <c r="A12" t="s">
        <v>10</v>
      </c>
      <c r="B12">
        <f>ANTIPASTI!M215</f>
        <v>2</v>
      </c>
      <c r="C12">
        <f>9*B12</f>
        <v>18</v>
      </c>
    </row>
    <row r="13" spans="1:4" x14ac:dyDescent="0.35">
      <c r="A13" t="s">
        <v>11</v>
      </c>
      <c r="B13">
        <f>ANTIPASTI!M216</f>
        <v>1</v>
      </c>
      <c r="C13">
        <f>10*B13</f>
        <v>10</v>
      </c>
    </row>
    <row r="14" spans="1:4" x14ac:dyDescent="0.35">
      <c r="A14" t="s">
        <v>12</v>
      </c>
      <c r="B14">
        <f>ANTIPASTI!M217</f>
        <v>0</v>
      </c>
      <c r="C14">
        <f>11*B14</f>
        <v>0</v>
      </c>
    </row>
    <row r="15" spans="1:4" x14ac:dyDescent="0.35">
      <c r="A15" t="s">
        <v>13</v>
      </c>
      <c r="B15">
        <f>ANTIPASTI!M218</f>
        <v>0</v>
      </c>
      <c r="C15">
        <f>12*B15</f>
        <v>0</v>
      </c>
    </row>
    <row r="16" spans="1:4" x14ac:dyDescent="0.35">
      <c r="A16" t="s">
        <v>14</v>
      </c>
      <c r="B16">
        <f>ANTIPASTI!M219</f>
        <v>0</v>
      </c>
      <c r="C16">
        <f>13*B16</f>
        <v>0</v>
      </c>
    </row>
    <row r="17" spans="1:3" x14ac:dyDescent="0.35">
      <c r="A17" t="s">
        <v>15</v>
      </c>
      <c r="B17">
        <f>ANTIPASTI!M220</f>
        <v>0</v>
      </c>
      <c r="C17">
        <f>14*B17</f>
        <v>0</v>
      </c>
    </row>
    <row r="18" spans="1:3" x14ac:dyDescent="0.35">
      <c r="A18" t="s">
        <v>16</v>
      </c>
      <c r="B18">
        <f>ANTIPASTI!M221</f>
        <v>0</v>
      </c>
      <c r="C18">
        <f>15*B18</f>
        <v>0</v>
      </c>
    </row>
    <row r="19" spans="1:3" x14ac:dyDescent="0.35">
      <c r="A19" t="s">
        <v>17</v>
      </c>
      <c r="B19">
        <f>ANTIPASTI!M222</f>
        <v>0</v>
      </c>
      <c r="C19">
        <f>16*B19</f>
        <v>0</v>
      </c>
    </row>
    <row r="20" spans="1:3" x14ac:dyDescent="0.35">
      <c r="A20" t="s">
        <v>73</v>
      </c>
      <c r="B20">
        <f>ANTIPASTI!M223</f>
        <v>0</v>
      </c>
      <c r="C20">
        <f>17*B20</f>
        <v>0</v>
      </c>
    </row>
    <row r="21" spans="1:3" x14ac:dyDescent="0.35">
      <c r="A21" t="s">
        <v>74</v>
      </c>
      <c r="B21">
        <f>ANTIPASTI!M224</f>
        <v>0</v>
      </c>
      <c r="C21">
        <f>18*B21</f>
        <v>0</v>
      </c>
    </row>
    <row r="22" spans="1:3" x14ac:dyDescent="0.35">
      <c r="A22" t="s">
        <v>75</v>
      </c>
      <c r="B22">
        <f>ANTIPASTI!M225</f>
        <v>0</v>
      </c>
      <c r="C22">
        <f>19*B22</f>
        <v>0</v>
      </c>
    </row>
    <row r="23" spans="1:3" x14ac:dyDescent="0.35">
      <c r="A23" t="s">
        <v>76</v>
      </c>
      <c r="B23">
        <f>ANTIPASTI!M226</f>
        <v>0</v>
      </c>
      <c r="C23">
        <f>20*B23</f>
        <v>0</v>
      </c>
    </row>
    <row r="24" spans="1:3" x14ac:dyDescent="0.35">
      <c r="A24" t="s">
        <v>77</v>
      </c>
      <c r="B24">
        <f>ANTIPASTI!M227</f>
        <v>0</v>
      </c>
      <c r="C24">
        <f>21*B24</f>
        <v>0</v>
      </c>
    </row>
    <row r="25" spans="1:3" x14ac:dyDescent="0.35">
      <c r="A25" t="s">
        <v>78</v>
      </c>
      <c r="B25">
        <f>ANTIPASTI!M228</f>
        <v>0</v>
      </c>
      <c r="C25">
        <f>22*B25</f>
        <v>0</v>
      </c>
    </row>
    <row r="26" spans="1:3" x14ac:dyDescent="0.35">
      <c r="A26" t="s">
        <v>79</v>
      </c>
      <c r="B26">
        <f>ANTIPASTI!M229</f>
        <v>0</v>
      </c>
      <c r="C26">
        <f>23*B26</f>
        <v>0</v>
      </c>
    </row>
    <row r="27" spans="1:3" x14ac:dyDescent="0.35">
      <c r="A27" t="s">
        <v>80</v>
      </c>
      <c r="B27">
        <f>ANTIPASTI!M230</f>
        <v>0</v>
      </c>
      <c r="C27">
        <f>24*B27</f>
        <v>0</v>
      </c>
    </row>
    <row r="28" spans="1:3" x14ac:dyDescent="0.35">
      <c r="A28" t="s">
        <v>81</v>
      </c>
      <c r="B28">
        <f>ANTIPASTI!M231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138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9"/>
  <sheetViews>
    <sheetView topLeftCell="A20" workbookViewId="0">
      <selection activeCell="D29" sqref="A1:D29"/>
    </sheetView>
  </sheetViews>
  <sheetFormatPr defaultRowHeight="14.5" x14ac:dyDescent="0.35"/>
  <sheetData>
    <row r="1" spans="1:4" ht="32.5" customHeight="1" x14ac:dyDescent="0.35">
      <c r="A1" s="22" t="s">
        <v>96</v>
      </c>
      <c r="B1" s="22"/>
      <c r="C1" s="22"/>
      <c r="D1" s="22"/>
    </row>
    <row r="4" spans="1:4" x14ac:dyDescent="0.35">
      <c r="A4" t="s">
        <v>2</v>
      </c>
      <c r="B4">
        <f>ANTIPASTI!N207</f>
        <v>0</v>
      </c>
      <c r="C4">
        <f>1*B4</f>
        <v>0</v>
      </c>
    </row>
    <row r="5" spans="1:4" x14ac:dyDescent="0.35">
      <c r="A5" t="s">
        <v>3</v>
      </c>
      <c r="B5">
        <f>ANTIPASTI!N208</f>
        <v>5</v>
      </c>
      <c r="C5">
        <f>2*B5</f>
        <v>10</v>
      </c>
    </row>
    <row r="6" spans="1:4" x14ac:dyDescent="0.35">
      <c r="A6" t="s">
        <v>4</v>
      </c>
      <c r="B6">
        <f>ANTIPASTI!N209</f>
        <v>3</v>
      </c>
      <c r="C6">
        <f>3*B6</f>
        <v>9</v>
      </c>
    </row>
    <row r="7" spans="1:4" x14ac:dyDescent="0.35">
      <c r="A7" t="s">
        <v>5</v>
      </c>
      <c r="B7">
        <f>ANTIPASTI!N210</f>
        <v>4</v>
      </c>
      <c r="C7">
        <f>4*B7</f>
        <v>16</v>
      </c>
    </row>
    <row r="8" spans="1:4" x14ac:dyDescent="0.35">
      <c r="A8" t="s">
        <v>6</v>
      </c>
      <c r="B8">
        <f>ANTIPASTI!N211</f>
        <v>1</v>
      </c>
      <c r="C8">
        <f>5*B8</f>
        <v>5</v>
      </c>
    </row>
    <row r="9" spans="1:4" x14ac:dyDescent="0.35">
      <c r="A9" t="s">
        <v>7</v>
      </c>
      <c r="B9">
        <f>ANTIPASTI!N212</f>
        <v>2</v>
      </c>
      <c r="C9">
        <f>6*B9</f>
        <v>12</v>
      </c>
    </row>
    <row r="10" spans="1:4" x14ac:dyDescent="0.35">
      <c r="A10" t="s">
        <v>8</v>
      </c>
      <c r="B10">
        <f>ANTIPASTI!N213</f>
        <v>0</v>
      </c>
      <c r="C10">
        <f>7*B10</f>
        <v>0</v>
      </c>
    </row>
    <row r="11" spans="1:4" x14ac:dyDescent="0.35">
      <c r="A11" t="s">
        <v>9</v>
      </c>
      <c r="B11">
        <f>ANTIPASTI!N214</f>
        <v>3</v>
      </c>
      <c r="C11">
        <f>8*B11</f>
        <v>24</v>
      </c>
    </row>
    <row r="12" spans="1:4" x14ac:dyDescent="0.35">
      <c r="A12" t="s">
        <v>10</v>
      </c>
      <c r="B12">
        <f>ANTIPASTI!N215</f>
        <v>0</v>
      </c>
      <c r="C12">
        <f>9*B12</f>
        <v>0</v>
      </c>
    </row>
    <row r="13" spans="1:4" x14ac:dyDescent="0.35">
      <c r="A13" t="s">
        <v>11</v>
      </c>
      <c r="B13">
        <f>ANTIPASTI!N216</f>
        <v>2</v>
      </c>
      <c r="C13">
        <f>10*B13</f>
        <v>20</v>
      </c>
    </row>
    <row r="14" spans="1:4" x14ac:dyDescent="0.35">
      <c r="A14" t="s">
        <v>12</v>
      </c>
      <c r="B14">
        <f>ANTIPASTI!N217</f>
        <v>0</v>
      </c>
      <c r="C14">
        <f>11*B14</f>
        <v>0</v>
      </c>
    </row>
    <row r="15" spans="1:4" x14ac:dyDescent="0.35">
      <c r="A15" t="s">
        <v>13</v>
      </c>
      <c r="B15">
        <f>ANTIPASTI!N218</f>
        <v>0</v>
      </c>
      <c r="C15">
        <f>12*B15</f>
        <v>0</v>
      </c>
    </row>
    <row r="16" spans="1:4" x14ac:dyDescent="0.35">
      <c r="A16" t="s">
        <v>14</v>
      </c>
      <c r="B16">
        <f>ANTIPASTI!N219</f>
        <v>1</v>
      </c>
      <c r="C16">
        <f>13*B16</f>
        <v>13</v>
      </c>
    </row>
    <row r="17" spans="1:3" x14ac:dyDescent="0.35">
      <c r="A17" t="s">
        <v>15</v>
      </c>
      <c r="B17">
        <f>ANTIPASTI!N220</f>
        <v>0</v>
      </c>
      <c r="C17">
        <f>14*B17</f>
        <v>0</v>
      </c>
    </row>
    <row r="18" spans="1:3" x14ac:dyDescent="0.35">
      <c r="A18" t="s">
        <v>16</v>
      </c>
      <c r="B18">
        <f>ANTIPASTI!N221</f>
        <v>0</v>
      </c>
      <c r="C18">
        <f>15*B18</f>
        <v>0</v>
      </c>
    </row>
    <row r="19" spans="1:3" x14ac:dyDescent="0.35">
      <c r="A19" t="s">
        <v>17</v>
      </c>
      <c r="B19">
        <f>ANTIPASTI!N222</f>
        <v>1</v>
      </c>
      <c r="C19">
        <f>16*B19</f>
        <v>16</v>
      </c>
    </row>
    <row r="20" spans="1:3" x14ac:dyDescent="0.35">
      <c r="A20" t="s">
        <v>73</v>
      </c>
      <c r="B20">
        <f>ANTIPASTI!N223</f>
        <v>0</v>
      </c>
      <c r="C20">
        <f>17*B20</f>
        <v>0</v>
      </c>
    </row>
    <row r="21" spans="1:3" x14ac:dyDescent="0.35">
      <c r="A21" t="s">
        <v>74</v>
      </c>
      <c r="B21">
        <f>ANTIPASTI!N224</f>
        <v>1</v>
      </c>
      <c r="C21">
        <f>18*B21</f>
        <v>18</v>
      </c>
    </row>
    <row r="22" spans="1:3" x14ac:dyDescent="0.35">
      <c r="A22" t="s">
        <v>75</v>
      </c>
      <c r="B22">
        <f>ANTIPASTI!N225</f>
        <v>0</v>
      </c>
      <c r="C22">
        <f>19*B22</f>
        <v>0</v>
      </c>
    </row>
    <row r="23" spans="1:3" x14ac:dyDescent="0.35">
      <c r="A23" t="s">
        <v>76</v>
      </c>
      <c r="B23">
        <f>ANTIPASTI!N226</f>
        <v>0</v>
      </c>
      <c r="C23">
        <f>20*B23</f>
        <v>0</v>
      </c>
    </row>
    <row r="24" spans="1:3" x14ac:dyDescent="0.35">
      <c r="A24" t="s">
        <v>77</v>
      </c>
      <c r="B24">
        <f>ANTIPASTI!N227</f>
        <v>0</v>
      </c>
      <c r="C24">
        <f>21*B24</f>
        <v>0</v>
      </c>
    </row>
    <row r="25" spans="1:3" x14ac:dyDescent="0.35">
      <c r="A25" t="s">
        <v>78</v>
      </c>
      <c r="B25">
        <f>ANTIPASTI!N228</f>
        <v>0</v>
      </c>
      <c r="C25">
        <f>22*B25</f>
        <v>0</v>
      </c>
    </row>
    <row r="26" spans="1:3" x14ac:dyDescent="0.35">
      <c r="A26" t="s">
        <v>79</v>
      </c>
      <c r="B26">
        <f>ANTIPASTI!N229</f>
        <v>0</v>
      </c>
      <c r="C26">
        <f>23*B26</f>
        <v>0</v>
      </c>
    </row>
    <row r="27" spans="1:3" x14ac:dyDescent="0.35">
      <c r="A27" t="s">
        <v>80</v>
      </c>
      <c r="B27">
        <f>ANTIPASTI!N230</f>
        <v>0</v>
      </c>
      <c r="C27">
        <f>24*B27</f>
        <v>0</v>
      </c>
    </row>
    <row r="28" spans="1:3" x14ac:dyDescent="0.35">
      <c r="A28" t="s">
        <v>81</v>
      </c>
      <c r="B28">
        <f>ANTIPASTI!N231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143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9"/>
  <sheetViews>
    <sheetView topLeftCell="A12" workbookViewId="0">
      <selection activeCell="D29" sqref="A1:D29"/>
    </sheetView>
  </sheetViews>
  <sheetFormatPr defaultRowHeight="14.5" x14ac:dyDescent="0.35"/>
  <sheetData>
    <row r="1" spans="1:4" ht="33.5" customHeight="1" x14ac:dyDescent="0.35">
      <c r="A1" s="22" t="s">
        <v>97</v>
      </c>
      <c r="B1" s="22"/>
      <c r="C1" s="22"/>
      <c r="D1" s="22"/>
    </row>
    <row r="4" spans="1:4" x14ac:dyDescent="0.35">
      <c r="A4" t="s">
        <v>2</v>
      </c>
      <c r="B4">
        <f>ANTIPASTI!O207</f>
        <v>12</v>
      </c>
      <c r="C4">
        <f>1*B4</f>
        <v>12</v>
      </c>
    </row>
    <row r="5" spans="1:4" x14ac:dyDescent="0.35">
      <c r="A5" t="s">
        <v>3</v>
      </c>
      <c r="B5">
        <f>ANTIPASTI!O208</f>
        <v>2</v>
      </c>
      <c r="C5">
        <f>2*B5</f>
        <v>4</v>
      </c>
    </row>
    <row r="6" spans="1:4" x14ac:dyDescent="0.35">
      <c r="A6" t="s">
        <v>4</v>
      </c>
      <c r="B6">
        <f>ANTIPASTI!O209</f>
        <v>1</v>
      </c>
      <c r="C6">
        <f>3*B6</f>
        <v>3</v>
      </c>
    </row>
    <row r="7" spans="1:4" x14ac:dyDescent="0.35">
      <c r="A7" t="s">
        <v>5</v>
      </c>
      <c r="B7">
        <f>ANTIPASTI!O210</f>
        <v>0</v>
      </c>
      <c r="C7">
        <f>4*B7</f>
        <v>0</v>
      </c>
    </row>
    <row r="8" spans="1:4" x14ac:dyDescent="0.35">
      <c r="A8" t="s">
        <v>6</v>
      </c>
      <c r="B8">
        <f>ANTIPASTI!O211</f>
        <v>0</v>
      </c>
      <c r="C8">
        <f>5*B8</f>
        <v>0</v>
      </c>
    </row>
    <row r="9" spans="1:4" x14ac:dyDescent="0.35">
      <c r="A9" t="s">
        <v>7</v>
      </c>
      <c r="B9">
        <f>ANTIPASTI!O212</f>
        <v>0</v>
      </c>
      <c r="C9">
        <f>6*B9</f>
        <v>0</v>
      </c>
    </row>
    <row r="10" spans="1:4" x14ac:dyDescent="0.35">
      <c r="A10" t="s">
        <v>8</v>
      </c>
      <c r="B10">
        <f>ANTIPASTI!O213</f>
        <v>0</v>
      </c>
      <c r="C10">
        <f>7*B10</f>
        <v>0</v>
      </c>
    </row>
    <row r="11" spans="1:4" x14ac:dyDescent="0.35">
      <c r="A11" t="s">
        <v>9</v>
      </c>
      <c r="B11">
        <f>ANTIPASTI!O214</f>
        <v>0</v>
      </c>
      <c r="C11">
        <f>8*B11</f>
        <v>0</v>
      </c>
    </row>
    <row r="12" spans="1:4" x14ac:dyDescent="0.35">
      <c r="A12" t="s">
        <v>10</v>
      </c>
      <c r="B12">
        <f>ANTIPASTI!O215</f>
        <v>0</v>
      </c>
      <c r="C12">
        <f>9*B12</f>
        <v>0</v>
      </c>
    </row>
    <row r="13" spans="1:4" x14ac:dyDescent="0.35">
      <c r="A13" t="s">
        <v>11</v>
      </c>
      <c r="B13">
        <f>ANTIPASTI!O216</f>
        <v>0</v>
      </c>
      <c r="C13">
        <f>10*B13</f>
        <v>0</v>
      </c>
    </row>
    <row r="14" spans="1:4" x14ac:dyDescent="0.35">
      <c r="A14" t="s">
        <v>12</v>
      </c>
      <c r="B14">
        <f>ANTIPASTI!O217</f>
        <v>0</v>
      </c>
      <c r="C14">
        <f>11*B14</f>
        <v>0</v>
      </c>
    </row>
    <row r="15" spans="1:4" x14ac:dyDescent="0.35">
      <c r="A15" t="s">
        <v>13</v>
      </c>
      <c r="B15">
        <f>ANTIPASTI!O218</f>
        <v>0</v>
      </c>
      <c r="C15">
        <f>12*B15</f>
        <v>0</v>
      </c>
    </row>
    <row r="16" spans="1:4" x14ac:dyDescent="0.35">
      <c r="A16" t="s">
        <v>14</v>
      </c>
      <c r="B16">
        <f>ANTIPASTI!O219</f>
        <v>0</v>
      </c>
      <c r="C16">
        <f>13*B16</f>
        <v>0</v>
      </c>
    </row>
    <row r="17" spans="1:3" x14ac:dyDescent="0.35">
      <c r="A17" t="s">
        <v>15</v>
      </c>
      <c r="B17">
        <f>ANTIPASTI!O220</f>
        <v>0</v>
      </c>
      <c r="C17">
        <f>14*B17</f>
        <v>0</v>
      </c>
    </row>
    <row r="18" spans="1:3" x14ac:dyDescent="0.35">
      <c r="A18" t="s">
        <v>16</v>
      </c>
      <c r="B18">
        <f>ANTIPASTI!O221</f>
        <v>0</v>
      </c>
      <c r="C18">
        <f>15*B18</f>
        <v>0</v>
      </c>
    </row>
    <row r="19" spans="1:3" x14ac:dyDescent="0.35">
      <c r="A19" t="s">
        <v>17</v>
      </c>
      <c r="B19">
        <f>ANTIPASTI!O222</f>
        <v>0</v>
      </c>
      <c r="C19">
        <f>16*B19</f>
        <v>0</v>
      </c>
    </row>
    <row r="20" spans="1:3" x14ac:dyDescent="0.35">
      <c r="A20" t="s">
        <v>73</v>
      </c>
      <c r="B20">
        <f>ANTIPASTI!O223</f>
        <v>0</v>
      </c>
      <c r="C20">
        <f>17*B20</f>
        <v>0</v>
      </c>
    </row>
    <row r="21" spans="1:3" x14ac:dyDescent="0.35">
      <c r="A21" t="s">
        <v>74</v>
      </c>
      <c r="B21">
        <f>ANTIPASTI!O224</f>
        <v>0</v>
      </c>
      <c r="C21">
        <f>18*B21</f>
        <v>0</v>
      </c>
    </row>
    <row r="22" spans="1:3" x14ac:dyDescent="0.35">
      <c r="A22" t="s">
        <v>75</v>
      </c>
      <c r="B22">
        <f>ANTIPASTI!O225</f>
        <v>0</v>
      </c>
      <c r="C22">
        <f>19*B22</f>
        <v>0</v>
      </c>
    </row>
    <row r="23" spans="1:3" x14ac:dyDescent="0.35">
      <c r="A23" t="s">
        <v>76</v>
      </c>
      <c r="B23">
        <f>ANTIPASTI!O226</f>
        <v>0</v>
      </c>
      <c r="C23">
        <f>20*B23</f>
        <v>0</v>
      </c>
    </row>
    <row r="24" spans="1:3" x14ac:dyDescent="0.35">
      <c r="A24" t="s">
        <v>77</v>
      </c>
      <c r="B24">
        <f>ANTIPASTI!O227</f>
        <v>0</v>
      </c>
      <c r="C24">
        <f>21*B24</f>
        <v>0</v>
      </c>
    </row>
    <row r="25" spans="1:3" x14ac:dyDescent="0.35">
      <c r="A25" t="s">
        <v>78</v>
      </c>
      <c r="B25">
        <f>ANTIPASTI!O228</f>
        <v>0</v>
      </c>
      <c r="C25">
        <f>22*B25</f>
        <v>0</v>
      </c>
    </row>
    <row r="26" spans="1:3" x14ac:dyDescent="0.35">
      <c r="A26" t="s">
        <v>79</v>
      </c>
      <c r="B26">
        <f>ANTIPASTI!O229</f>
        <v>0</v>
      </c>
      <c r="C26">
        <f>23*B26</f>
        <v>0</v>
      </c>
    </row>
    <row r="27" spans="1:3" x14ac:dyDescent="0.35">
      <c r="A27" t="s">
        <v>80</v>
      </c>
      <c r="B27">
        <f>ANTIPASTI!O230</f>
        <v>0</v>
      </c>
      <c r="C27">
        <f>24*B27</f>
        <v>0</v>
      </c>
    </row>
    <row r="28" spans="1:3" x14ac:dyDescent="0.35">
      <c r="A28" t="s">
        <v>81</v>
      </c>
      <c r="B28">
        <f>ANTIPASTI!O231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19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9"/>
  <sheetViews>
    <sheetView topLeftCell="A17" workbookViewId="0">
      <selection activeCell="B4" sqref="B4:B28"/>
    </sheetView>
  </sheetViews>
  <sheetFormatPr defaultRowHeight="14.5" x14ac:dyDescent="0.35"/>
  <sheetData>
    <row r="1" spans="1:4" ht="34.75" customHeight="1" x14ac:dyDescent="0.35">
      <c r="A1" s="22" t="s">
        <v>98</v>
      </c>
      <c r="B1" s="22"/>
      <c r="C1" s="22"/>
      <c r="D1" s="22"/>
    </row>
    <row r="4" spans="1:4" x14ac:dyDescent="0.35">
      <c r="A4" t="s">
        <v>2</v>
      </c>
      <c r="B4">
        <f>ANTIPASTI!P207</f>
        <v>0</v>
      </c>
      <c r="C4">
        <f>1*B4</f>
        <v>0</v>
      </c>
    </row>
    <row r="5" spans="1:4" x14ac:dyDescent="0.35">
      <c r="A5" t="s">
        <v>3</v>
      </c>
      <c r="B5">
        <f>ANTIPASTI!P208</f>
        <v>0</v>
      </c>
      <c r="C5">
        <f>2*B5</f>
        <v>0</v>
      </c>
    </row>
    <row r="6" spans="1:4" x14ac:dyDescent="0.35">
      <c r="A6" t="s">
        <v>4</v>
      </c>
      <c r="B6">
        <f>ANTIPASTI!P209</f>
        <v>0</v>
      </c>
      <c r="C6">
        <f>3*B6</f>
        <v>0</v>
      </c>
    </row>
    <row r="7" spans="1:4" x14ac:dyDescent="0.35">
      <c r="A7" t="s">
        <v>5</v>
      </c>
      <c r="B7">
        <f>ANTIPASTI!P210</f>
        <v>0</v>
      </c>
      <c r="C7">
        <f>4*B7</f>
        <v>0</v>
      </c>
    </row>
    <row r="8" spans="1:4" x14ac:dyDescent="0.35">
      <c r="A8" t="s">
        <v>6</v>
      </c>
      <c r="B8">
        <f>ANTIPASTI!P211</f>
        <v>0</v>
      </c>
      <c r="C8">
        <f>5*B8</f>
        <v>0</v>
      </c>
    </row>
    <row r="9" spans="1:4" x14ac:dyDescent="0.35">
      <c r="A9" t="s">
        <v>7</v>
      </c>
      <c r="B9">
        <f>ANTIPASTI!P212</f>
        <v>0</v>
      </c>
      <c r="C9">
        <f>6*B9</f>
        <v>0</v>
      </c>
    </row>
    <row r="10" spans="1:4" x14ac:dyDescent="0.35">
      <c r="A10" t="s">
        <v>8</v>
      </c>
      <c r="B10">
        <f>ANTIPASTI!P213</f>
        <v>1</v>
      </c>
      <c r="C10">
        <f>7*B10</f>
        <v>7</v>
      </c>
    </row>
    <row r="11" spans="1:4" x14ac:dyDescent="0.35">
      <c r="A11" t="s">
        <v>9</v>
      </c>
      <c r="B11">
        <f>ANTIPASTI!P214</f>
        <v>0</v>
      </c>
      <c r="C11">
        <f>8*B11</f>
        <v>0</v>
      </c>
    </row>
    <row r="12" spans="1:4" x14ac:dyDescent="0.35">
      <c r="A12" t="s">
        <v>10</v>
      </c>
      <c r="B12">
        <f>ANTIPASTI!P215</f>
        <v>0</v>
      </c>
      <c r="C12">
        <f>9*B12</f>
        <v>0</v>
      </c>
    </row>
    <row r="13" spans="1:4" x14ac:dyDescent="0.35">
      <c r="A13" t="s">
        <v>11</v>
      </c>
      <c r="B13">
        <f>ANTIPASTI!P216</f>
        <v>0</v>
      </c>
      <c r="C13">
        <f>10*B13</f>
        <v>0</v>
      </c>
    </row>
    <row r="14" spans="1:4" x14ac:dyDescent="0.35">
      <c r="A14" t="s">
        <v>12</v>
      </c>
      <c r="B14">
        <f>ANTIPASTI!P217</f>
        <v>0</v>
      </c>
      <c r="C14">
        <f>11*B14</f>
        <v>0</v>
      </c>
    </row>
    <row r="15" spans="1:4" x14ac:dyDescent="0.35">
      <c r="A15" t="s">
        <v>13</v>
      </c>
      <c r="B15">
        <f>ANTIPASTI!P218</f>
        <v>0</v>
      </c>
      <c r="C15">
        <f>12*B15</f>
        <v>0</v>
      </c>
    </row>
    <row r="16" spans="1:4" x14ac:dyDescent="0.35">
      <c r="A16" t="s">
        <v>14</v>
      </c>
      <c r="B16">
        <f>ANTIPASTI!P219</f>
        <v>0</v>
      </c>
      <c r="C16">
        <f>13*B16</f>
        <v>0</v>
      </c>
    </row>
    <row r="17" spans="1:3" x14ac:dyDescent="0.35">
      <c r="A17" t="s">
        <v>15</v>
      </c>
      <c r="B17">
        <f>ANTIPASTI!P220</f>
        <v>0</v>
      </c>
      <c r="C17">
        <f>14*B17</f>
        <v>0</v>
      </c>
    </row>
    <row r="18" spans="1:3" x14ac:dyDescent="0.35">
      <c r="A18" t="s">
        <v>16</v>
      </c>
      <c r="B18">
        <f>ANTIPASTI!P221</f>
        <v>0</v>
      </c>
      <c r="C18">
        <f>15*B18</f>
        <v>0</v>
      </c>
    </row>
    <row r="19" spans="1:3" x14ac:dyDescent="0.35">
      <c r="A19" t="s">
        <v>17</v>
      </c>
      <c r="B19">
        <f>ANTIPASTI!P222</f>
        <v>0</v>
      </c>
      <c r="C19">
        <f>16*B19</f>
        <v>0</v>
      </c>
    </row>
    <row r="20" spans="1:3" x14ac:dyDescent="0.35">
      <c r="A20" t="s">
        <v>73</v>
      </c>
      <c r="B20">
        <f>ANTIPASTI!P223</f>
        <v>0</v>
      </c>
      <c r="C20">
        <f>17*B20</f>
        <v>0</v>
      </c>
    </row>
    <row r="21" spans="1:3" x14ac:dyDescent="0.35">
      <c r="A21" t="s">
        <v>74</v>
      </c>
      <c r="B21">
        <f>ANTIPASTI!P224</f>
        <v>0</v>
      </c>
      <c r="C21">
        <f>18*B21</f>
        <v>0</v>
      </c>
    </row>
    <row r="22" spans="1:3" x14ac:dyDescent="0.35">
      <c r="A22" t="s">
        <v>75</v>
      </c>
      <c r="B22">
        <f>ANTIPASTI!P225</f>
        <v>0</v>
      </c>
      <c r="C22">
        <f>19*B22</f>
        <v>0</v>
      </c>
    </row>
    <row r="23" spans="1:3" x14ac:dyDescent="0.35">
      <c r="A23" t="s">
        <v>76</v>
      </c>
      <c r="B23">
        <f>ANTIPASTI!P226</f>
        <v>0</v>
      </c>
      <c r="C23">
        <f>20*B23</f>
        <v>0</v>
      </c>
    </row>
    <row r="24" spans="1:3" x14ac:dyDescent="0.35">
      <c r="A24" t="s">
        <v>77</v>
      </c>
      <c r="B24">
        <f>ANTIPASTI!P227</f>
        <v>0</v>
      </c>
      <c r="C24">
        <f>21*B24</f>
        <v>0</v>
      </c>
    </row>
    <row r="25" spans="1:3" x14ac:dyDescent="0.35">
      <c r="A25" t="s">
        <v>78</v>
      </c>
      <c r="B25">
        <f>ANTIPASTI!P228</f>
        <v>0</v>
      </c>
      <c r="C25">
        <f>22*B25</f>
        <v>0</v>
      </c>
    </row>
    <row r="26" spans="1:3" x14ac:dyDescent="0.35">
      <c r="A26" t="s">
        <v>79</v>
      </c>
      <c r="B26">
        <f>ANTIPASTI!P229</f>
        <v>0</v>
      </c>
      <c r="C26">
        <f>23*B26</f>
        <v>0</v>
      </c>
    </row>
    <row r="27" spans="1:3" x14ac:dyDescent="0.35">
      <c r="A27" t="s">
        <v>80</v>
      </c>
      <c r="B27">
        <f>ANTIPASTI!P230</f>
        <v>0</v>
      </c>
      <c r="C27">
        <f>24*B27</f>
        <v>0</v>
      </c>
    </row>
    <row r="28" spans="1:3" x14ac:dyDescent="0.35">
      <c r="A28" t="s">
        <v>81</v>
      </c>
      <c r="B28">
        <f>ANTIPASTI!P231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7</v>
      </c>
    </row>
  </sheetData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9"/>
  <sheetViews>
    <sheetView topLeftCell="A20" workbookViewId="0">
      <selection activeCell="D29" sqref="A1:D29"/>
    </sheetView>
  </sheetViews>
  <sheetFormatPr defaultRowHeight="14.5" x14ac:dyDescent="0.35"/>
  <sheetData>
    <row r="1" spans="1:4" ht="33.5" customHeight="1" x14ac:dyDescent="0.35">
      <c r="A1" s="22" t="s">
        <v>56</v>
      </c>
      <c r="B1" s="22"/>
      <c r="C1" s="22"/>
      <c r="D1" s="22"/>
    </row>
    <row r="4" spans="1:4" x14ac:dyDescent="0.35">
      <c r="A4" t="s">
        <v>2</v>
      </c>
      <c r="B4">
        <f>CRUDI!C204</f>
        <v>7</v>
      </c>
      <c r="C4">
        <f>1*B4</f>
        <v>7</v>
      </c>
    </row>
    <row r="5" spans="1:4" x14ac:dyDescent="0.35">
      <c r="A5" t="s">
        <v>3</v>
      </c>
      <c r="B5">
        <f>CRUDI!C205</f>
        <v>3</v>
      </c>
      <c r="C5">
        <f>2*B5</f>
        <v>6</v>
      </c>
    </row>
    <row r="6" spans="1:4" x14ac:dyDescent="0.35">
      <c r="A6" t="s">
        <v>4</v>
      </c>
      <c r="B6">
        <f>CRUDI!C206</f>
        <v>0</v>
      </c>
      <c r="C6">
        <f>3*B6</f>
        <v>0</v>
      </c>
    </row>
    <row r="7" spans="1:4" x14ac:dyDescent="0.35">
      <c r="A7" t="s">
        <v>5</v>
      </c>
      <c r="B7">
        <f>CRUDI!C207</f>
        <v>1</v>
      </c>
      <c r="C7">
        <f>4*B7</f>
        <v>4</v>
      </c>
    </row>
    <row r="8" spans="1:4" x14ac:dyDescent="0.35">
      <c r="A8" t="s">
        <v>6</v>
      </c>
      <c r="B8">
        <f>CRUDI!C208</f>
        <v>0</v>
      </c>
      <c r="C8">
        <f>5*B8</f>
        <v>0</v>
      </c>
    </row>
    <row r="9" spans="1:4" x14ac:dyDescent="0.35">
      <c r="A9" t="s">
        <v>7</v>
      </c>
      <c r="B9">
        <f>CRUDI!C209</f>
        <v>0</v>
      </c>
      <c r="C9">
        <f>6*B9</f>
        <v>0</v>
      </c>
    </row>
    <row r="10" spans="1:4" x14ac:dyDescent="0.35">
      <c r="A10" t="s">
        <v>8</v>
      </c>
      <c r="B10">
        <f>CRUDI!C210</f>
        <v>0</v>
      </c>
      <c r="C10">
        <f>7*B10</f>
        <v>0</v>
      </c>
    </row>
    <row r="11" spans="1:4" x14ac:dyDescent="0.35">
      <c r="A11" t="s">
        <v>9</v>
      </c>
      <c r="B11">
        <f>CRUDI!C211</f>
        <v>0</v>
      </c>
      <c r="C11">
        <f>8*B11</f>
        <v>0</v>
      </c>
    </row>
    <row r="12" spans="1:4" x14ac:dyDescent="0.35">
      <c r="A12" t="s">
        <v>10</v>
      </c>
      <c r="B12">
        <f>CRUDI!C212</f>
        <v>0</v>
      </c>
      <c r="C12">
        <f>9*B12</f>
        <v>0</v>
      </c>
    </row>
    <row r="13" spans="1:4" x14ac:dyDescent="0.35">
      <c r="A13" t="s">
        <v>11</v>
      </c>
      <c r="B13">
        <f>CRUDI!C213</f>
        <v>0</v>
      </c>
      <c r="C13">
        <f>10*B13</f>
        <v>0</v>
      </c>
    </row>
    <row r="14" spans="1:4" x14ac:dyDescent="0.35">
      <c r="A14" t="s">
        <v>12</v>
      </c>
      <c r="B14">
        <f>CRUDI!C214</f>
        <v>0</v>
      </c>
      <c r="C14">
        <f>11*B14</f>
        <v>0</v>
      </c>
    </row>
    <row r="15" spans="1:4" x14ac:dyDescent="0.35">
      <c r="A15" t="s">
        <v>13</v>
      </c>
      <c r="B15">
        <f>CRUDI!C215</f>
        <v>0</v>
      </c>
      <c r="C15">
        <f>12*B15</f>
        <v>0</v>
      </c>
    </row>
    <row r="16" spans="1:4" x14ac:dyDescent="0.35">
      <c r="A16" t="s">
        <v>14</v>
      </c>
      <c r="B16">
        <f>CRUDI!C216</f>
        <v>0</v>
      </c>
      <c r="C16">
        <f>13*B16</f>
        <v>0</v>
      </c>
    </row>
    <row r="17" spans="1:3" x14ac:dyDescent="0.35">
      <c r="A17" t="s">
        <v>15</v>
      </c>
      <c r="B17">
        <f>CRUDI!C217</f>
        <v>0</v>
      </c>
      <c r="C17">
        <f>14*B17</f>
        <v>0</v>
      </c>
    </row>
    <row r="18" spans="1:3" x14ac:dyDescent="0.35">
      <c r="A18" t="s">
        <v>16</v>
      </c>
      <c r="B18">
        <f>CRUDI!C218</f>
        <v>0</v>
      </c>
      <c r="C18">
        <f>15*B18</f>
        <v>0</v>
      </c>
    </row>
    <row r="19" spans="1:3" x14ac:dyDescent="0.35">
      <c r="A19" t="s">
        <v>17</v>
      </c>
      <c r="B19">
        <f>CRUDI!C219</f>
        <v>0</v>
      </c>
      <c r="C19">
        <f>16*B19</f>
        <v>0</v>
      </c>
    </row>
    <row r="20" spans="1:3" x14ac:dyDescent="0.35">
      <c r="A20" t="s">
        <v>73</v>
      </c>
      <c r="B20">
        <f>CRUDI!C220</f>
        <v>0</v>
      </c>
      <c r="C20">
        <f>17*B20</f>
        <v>0</v>
      </c>
    </row>
    <row r="21" spans="1:3" x14ac:dyDescent="0.35">
      <c r="A21" t="s">
        <v>74</v>
      </c>
      <c r="B21">
        <f>CRUDI!C221</f>
        <v>0</v>
      </c>
      <c r="C21">
        <f>18*B21</f>
        <v>0</v>
      </c>
    </row>
    <row r="22" spans="1:3" x14ac:dyDescent="0.35">
      <c r="A22" t="s">
        <v>75</v>
      </c>
      <c r="B22">
        <f>CRUDI!C222</f>
        <v>0</v>
      </c>
      <c r="C22">
        <f>19*B22</f>
        <v>0</v>
      </c>
    </row>
    <row r="23" spans="1:3" x14ac:dyDescent="0.35">
      <c r="A23" t="s">
        <v>76</v>
      </c>
      <c r="B23">
        <f>CRUDI!C223</f>
        <v>0</v>
      </c>
      <c r="C23">
        <f>20*B23</f>
        <v>0</v>
      </c>
    </row>
    <row r="24" spans="1:3" x14ac:dyDescent="0.35">
      <c r="A24" t="s">
        <v>77</v>
      </c>
      <c r="B24">
        <f>CRUDI!C224</f>
        <v>0</v>
      </c>
      <c r="C24">
        <f>21*B24</f>
        <v>0</v>
      </c>
    </row>
    <row r="25" spans="1:3" x14ac:dyDescent="0.35">
      <c r="A25" t="s">
        <v>78</v>
      </c>
      <c r="B25">
        <f>CRUDI!C225</f>
        <v>0</v>
      </c>
      <c r="C25">
        <f>22*B25</f>
        <v>0</v>
      </c>
    </row>
    <row r="26" spans="1:3" x14ac:dyDescent="0.35">
      <c r="A26" t="s">
        <v>79</v>
      </c>
      <c r="B26">
        <f>CRUDI!C226</f>
        <v>0</v>
      </c>
      <c r="C26">
        <f>23*B26</f>
        <v>0</v>
      </c>
    </row>
    <row r="27" spans="1:3" x14ac:dyDescent="0.35">
      <c r="A27" t="s">
        <v>80</v>
      </c>
      <c r="B27">
        <f>CRUDI!C227</f>
        <v>0</v>
      </c>
      <c r="C27">
        <f>24*B27</f>
        <v>0</v>
      </c>
    </row>
    <row r="28" spans="1:3" x14ac:dyDescent="0.35">
      <c r="A28" t="s">
        <v>81</v>
      </c>
      <c r="B28">
        <f>CRUDI!C228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17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"/>
  <sheetViews>
    <sheetView topLeftCell="A2" workbookViewId="0">
      <selection activeCell="D19" sqref="A1:D19"/>
    </sheetView>
  </sheetViews>
  <sheetFormatPr defaultRowHeight="14.5" x14ac:dyDescent="0.35"/>
  <sheetData>
    <row r="1" spans="1:4" ht="36" customHeight="1" x14ac:dyDescent="0.35">
      <c r="A1" s="22" t="s">
        <v>99</v>
      </c>
      <c r="B1" s="22"/>
      <c r="C1" s="22"/>
      <c r="D1" s="22"/>
    </row>
    <row r="4" spans="1:4" x14ac:dyDescent="0.35">
      <c r="A4" t="s">
        <v>2</v>
      </c>
      <c r="B4">
        <f>CRUDI!D204</f>
        <v>10</v>
      </c>
      <c r="C4">
        <f>1*B4</f>
        <v>10</v>
      </c>
    </row>
    <row r="5" spans="1:4" x14ac:dyDescent="0.35">
      <c r="A5" t="s">
        <v>3</v>
      </c>
      <c r="B5">
        <f>CRUDI!D205</f>
        <v>6</v>
      </c>
      <c r="C5">
        <f>2*B5</f>
        <v>12</v>
      </c>
    </row>
    <row r="6" spans="1:4" x14ac:dyDescent="0.35">
      <c r="A6" t="s">
        <v>4</v>
      </c>
      <c r="B6">
        <f>CRUDI!D206</f>
        <v>3</v>
      </c>
      <c r="C6">
        <f>3*B6</f>
        <v>9</v>
      </c>
    </row>
    <row r="7" spans="1:4" x14ac:dyDescent="0.35">
      <c r="A7" t="s">
        <v>5</v>
      </c>
      <c r="B7">
        <f>CRUDI!D207</f>
        <v>1</v>
      </c>
      <c r="C7">
        <f>4*B7</f>
        <v>4</v>
      </c>
    </row>
    <row r="8" spans="1:4" x14ac:dyDescent="0.35">
      <c r="A8" t="s">
        <v>6</v>
      </c>
      <c r="B8">
        <f>CRUDI!D208</f>
        <v>0</v>
      </c>
      <c r="C8">
        <f>5*B8</f>
        <v>0</v>
      </c>
    </row>
    <row r="9" spans="1:4" x14ac:dyDescent="0.35">
      <c r="A9" t="s">
        <v>7</v>
      </c>
      <c r="B9">
        <f>CRUDI!D209</f>
        <v>0</v>
      </c>
      <c r="C9">
        <f>6*B9</f>
        <v>0</v>
      </c>
    </row>
    <row r="10" spans="1:4" x14ac:dyDescent="0.35">
      <c r="A10" t="s">
        <v>8</v>
      </c>
      <c r="B10">
        <f>CRUDI!D210</f>
        <v>0</v>
      </c>
      <c r="C10">
        <f>7*B10</f>
        <v>0</v>
      </c>
    </row>
    <row r="11" spans="1:4" x14ac:dyDescent="0.35">
      <c r="A11" t="s">
        <v>9</v>
      </c>
      <c r="B11">
        <f>CRUDI!D211</f>
        <v>0</v>
      </c>
      <c r="C11">
        <f>8*B11</f>
        <v>0</v>
      </c>
    </row>
    <row r="12" spans="1:4" x14ac:dyDescent="0.35">
      <c r="A12" t="s">
        <v>10</v>
      </c>
      <c r="B12">
        <f>CRUDI!D212</f>
        <v>1</v>
      </c>
      <c r="C12">
        <f>9*B12</f>
        <v>9</v>
      </c>
    </row>
    <row r="13" spans="1:4" x14ac:dyDescent="0.35">
      <c r="A13" t="s">
        <v>11</v>
      </c>
      <c r="B13">
        <f>CRUDI!D213</f>
        <v>0</v>
      </c>
      <c r="C13">
        <f>10*B13</f>
        <v>0</v>
      </c>
    </row>
    <row r="14" spans="1:4" x14ac:dyDescent="0.35">
      <c r="A14" t="s">
        <v>12</v>
      </c>
      <c r="B14">
        <f>CRUDI!D214</f>
        <v>0</v>
      </c>
      <c r="C14">
        <f>11*B14</f>
        <v>0</v>
      </c>
    </row>
    <row r="15" spans="1:4" x14ac:dyDescent="0.35">
      <c r="A15" t="s">
        <v>13</v>
      </c>
      <c r="B15">
        <f>CRUDI!D215</f>
        <v>0</v>
      </c>
      <c r="C15">
        <f>12*B15</f>
        <v>0</v>
      </c>
    </row>
    <row r="16" spans="1:4" x14ac:dyDescent="0.35">
      <c r="A16" t="s">
        <v>14</v>
      </c>
      <c r="B16">
        <f>CRUDI!D216</f>
        <v>0</v>
      </c>
      <c r="C16">
        <f>13*B16</f>
        <v>0</v>
      </c>
    </row>
    <row r="17" spans="1:3" x14ac:dyDescent="0.35">
      <c r="A17" t="s">
        <v>15</v>
      </c>
      <c r="B17">
        <f>CRUDI!D217</f>
        <v>0</v>
      </c>
      <c r="C17">
        <f>14*B17</f>
        <v>0</v>
      </c>
    </row>
    <row r="18" spans="1:3" x14ac:dyDescent="0.35">
      <c r="A18" t="s">
        <v>16</v>
      </c>
      <c r="B18">
        <f>CRUDI!D218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44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29" customHeight="1" x14ac:dyDescent="0.35">
      <c r="A1" s="22" t="s">
        <v>57</v>
      </c>
      <c r="B1" s="22"/>
      <c r="C1" s="22"/>
      <c r="D1" s="22"/>
    </row>
    <row r="4" spans="1:4" x14ac:dyDescent="0.35">
      <c r="A4" t="s">
        <v>2</v>
      </c>
      <c r="B4">
        <f>CRUDI!E204</f>
        <v>1</v>
      </c>
      <c r="C4">
        <f>1*B4</f>
        <v>1</v>
      </c>
    </row>
    <row r="5" spans="1:4" x14ac:dyDescent="0.35">
      <c r="A5" t="s">
        <v>3</v>
      </c>
      <c r="B5">
        <f>CRUDI!E205</f>
        <v>6</v>
      </c>
      <c r="C5">
        <f>2*B5</f>
        <v>12</v>
      </c>
    </row>
    <row r="6" spans="1:4" x14ac:dyDescent="0.35">
      <c r="A6" t="s">
        <v>4</v>
      </c>
      <c r="B6">
        <f>CRUDI!E206</f>
        <v>2</v>
      </c>
      <c r="C6">
        <f>3*B6</f>
        <v>6</v>
      </c>
    </row>
    <row r="7" spans="1:4" x14ac:dyDescent="0.35">
      <c r="A7" t="s">
        <v>5</v>
      </c>
      <c r="B7">
        <f>CRUDI!E207</f>
        <v>2</v>
      </c>
      <c r="C7">
        <f>4*B7</f>
        <v>8</v>
      </c>
    </row>
    <row r="8" spans="1:4" x14ac:dyDescent="0.35">
      <c r="A8" t="s">
        <v>6</v>
      </c>
      <c r="B8">
        <f>CRUDI!E208</f>
        <v>0</v>
      </c>
      <c r="C8">
        <f>5*B8</f>
        <v>0</v>
      </c>
    </row>
    <row r="9" spans="1:4" x14ac:dyDescent="0.35">
      <c r="A9" t="s">
        <v>7</v>
      </c>
      <c r="B9">
        <f>CRUDI!E209</f>
        <v>0</v>
      </c>
      <c r="C9">
        <f>6*B9</f>
        <v>0</v>
      </c>
    </row>
    <row r="10" spans="1:4" x14ac:dyDescent="0.35">
      <c r="A10" t="s">
        <v>8</v>
      </c>
      <c r="B10">
        <f>CRUDI!E210</f>
        <v>0</v>
      </c>
      <c r="C10">
        <f>7*B10</f>
        <v>0</v>
      </c>
    </row>
    <row r="11" spans="1:4" x14ac:dyDescent="0.35">
      <c r="A11" t="s">
        <v>9</v>
      </c>
      <c r="B11">
        <f>CRUDI!E211</f>
        <v>0</v>
      </c>
      <c r="C11">
        <f>8*B11</f>
        <v>0</v>
      </c>
    </row>
    <row r="12" spans="1:4" x14ac:dyDescent="0.35">
      <c r="A12" t="s">
        <v>10</v>
      </c>
      <c r="B12">
        <f>CRUDI!E212</f>
        <v>0</v>
      </c>
      <c r="C12">
        <f>9*B12</f>
        <v>0</v>
      </c>
    </row>
    <row r="13" spans="1:4" x14ac:dyDescent="0.35">
      <c r="A13" t="s">
        <v>11</v>
      </c>
      <c r="B13">
        <f>CRUDI!E213</f>
        <v>0</v>
      </c>
      <c r="C13">
        <f>10*B13</f>
        <v>0</v>
      </c>
    </row>
    <row r="14" spans="1:4" x14ac:dyDescent="0.35">
      <c r="A14" t="s">
        <v>12</v>
      </c>
      <c r="B14">
        <f>CRUDI!E214</f>
        <v>0</v>
      </c>
      <c r="C14">
        <f>11*B14</f>
        <v>0</v>
      </c>
    </row>
    <row r="15" spans="1:4" x14ac:dyDescent="0.35">
      <c r="A15" t="s">
        <v>13</v>
      </c>
      <c r="B15">
        <f>CRUDI!E215</f>
        <v>0</v>
      </c>
      <c r="C15">
        <f>12*B15</f>
        <v>0</v>
      </c>
    </row>
    <row r="16" spans="1:4" x14ac:dyDescent="0.35">
      <c r="A16" t="s">
        <v>14</v>
      </c>
      <c r="B16">
        <f>CRUDI!E216</f>
        <v>0</v>
      </c>
      <c r="C16">
        <f>13*B16</f>
        <v>0</v>
      </c>
    </row>
    <row r="17" spans="1:3" x14ac:dyDescent="0.35">
      <c r="A17" t="s">
        <v>15</v>
      </c>
      <c r="B17">
        <f>CRUDI!E217</f>
        <v>0</v>
      </c>
      <c r="C17">
        <f>14*B17</f>
        <v>0</v>
      </c>
    </row>
    <row r="18" spans="1:3" x14ac:dyDescent="0.35">
      <c r="A18" t="s">
        <v>16</v>
      </c>
      <c r="B18">
        <f>CRUDI!E218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27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1.5" customHeight="1" x14ac:dyDescent="0.35">
      <c r="A1" s="22" t="s">
        <v>58</v>
      </c>
      <c r="B1" s="22"/>
      <c r="C1" s="22"/>
      <c r="D1" s="22"/>
    </row>
    <row r="4" spans="1:4" x14ac:dyDescent="0.35">
      <c r="A4" t="s">
        <v>2</v>
      </c>
      <c r="B4">
        <f>CRUDI!F204</f>
        <v>5</v>
      </c>
      <c r="C4">
        <f>1*B4</f>
        <v>5</v>
      </c>
    </row>
    <row r="5" spans="1:4" x14ac:dyDescent="0.35">
      <c r="A5" t="s">
        <v>3</v>
      </c>
      <c r="B5">
        <f>CRUDI!F205</f>
        <v>4</v>
      </c>
      <c r="C5">
        <f>2*B5</f>
        <v>8</v>
      </c>
    </row>
    <row r="6" spans="1:4" x14ac:dyDescent="0.35">
      <c r="A6" t="s">
        <v>4</v>
      </c>
      <c r="B6">
        <f>CRUDI!F206</f>
        <v>0</v>
      </c>
      <c r="C6">
        <f>3*B6</f>
        <v>0</v>
      </c>
    </row>
    <row r="7" spans="1:4" x14ac:dyDescent="0.35">
      <c r="A7" t="s">
        <v>5</v>
      </c>
      <c r="B7">
        <f>CRUDI!F207</f>
        <v>0</v>
      </c>
      <c r="C7">
        <f>4*B7</f>
        <v>0</v>
      </c>
    </row>
    <row r="8" spans="1:4" x14ac:dyDescent="0.35">
      <c r="A8" t="s">
        <v>6</v>
      </c>
      <c r="B8">
        <f>CRUDI!F208</f>
        <v>0</v>
      </c>
      <c r="C8">
        <f>5*B8</f>
        <v>0</v>
      </c>
    </row>
    <row r="9" spans="1:4" x14ac:dyDescent="0.35">
      <c r="A9" t="s">
        <v>7</v>
      </c>
      <c r="B9">
        <f>CRUDI!F209</f>
        <v>0</v>
      </c>
      <c r="C9">
        <f>6*B9</f>
        <v>0</v>
      </c>
    </row>
    <row r="10" spans="1:4" x14ac:dyDescent="0.35">
      <c r="A10" t="s">
        <v>8</v>
      </c>
      <c r="B10">
        <f>CRUDI!F210</f>
        <v>0</v>
      </c>
      <c r="C10">
        <f>7*B10</f>
        <v>0</v>
      </c>
    </row>
    <row r="11" spans="1:4" x14ac:dyDescent="0.35">
      <c r="A11" t="s">
        <v>9</v>
      </c>
      <c r="B11">
        <f>CRUDI!F211</f>
        <v>0</v>
      </c>
      <c r="C11">
        <f>8*B11</f>
        <v>0</v>
      </c>
    </row>
    <row r="12" spans="1:4" x14ac:dyDescent="0.35">
      <c r="A12" t="s">
        <v>10</v>
      </c>
      <c r="B12">
        <f>CRUDI!F212</f>
        <v>0</v>
      </c>
      <c r="C12">
        <f>9*B12</f>
        <v>0</v>
      </c>
    </row>
    <row r="13" spans="1:4" x14ac:dyDescent="0.35">
      <c r="A13" t="s">
        <v>11</v>
      </c>
      <c r="B13">
        <f>CRUDI!F213</f>
        <v>0</v>
      </c>
      <c r="C13">
        <f>10*B13</f>
        <v>0</v>
      </c>
    </row>
    <row r="14" spans="1:4" x14ac:dyDescent="0.35">
      <c r="A14" t="s">
        <v>12</v>
      </c>
      <c r="B14">
        <f>CRUDI!F214</f>
        <v>0</v>
      </c>
      <c r="C14">
        <f>11*B14</f>
        <v>0</v>
      </c>
    </row>
    <row r="15" spans="1:4" x14ac:dyDescent="0.35">
      <c r="A15" t="s">
        <v>13</v>
      </c>
      <c r="B15">
        <f>CRUDI!F215</f>
        <v>0</v>
      </c>
      <c r="C15">
        <f>12*B15</f>
        <v>0</v>
      </c>
    </row>
    <row r="16" spans="1:4" x14ac:dyDescent="0.35">
      <c r="A16" t="s">
        <v>14</v>
      </c>
      <c r="B16">
        <f>CRUDI!F216</f>
        <v>0</v>
      </c>
      <c r="C16">
        <f>13*B16</f>
        <v>0</v>
      </c>
    </row>
    <row r="17" spans="1:3" x14ac:dyDescent="0.35">
      <c r="A17" t="s">
        <v>15</v>
      </c>
      <c r="B17">
        <f>CRUDI!F217</f>
        <v>0</v>
      </c>
      <c r="C17">
        <f>14*B17</f>
        <v>0</v>
      </c>
    </row>
    <row r="18" spans="1:3" x14ac:dyDescent="0.35">
      <c r="A18" t="s">
        <v>16</v>
      </c>
      <c r="B18">
        <f>CRUDI!F218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13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0.5" customHeight="1" x14ac:dyDescent="0.35">
      <c r="A1" s="22" t="s">
        <v>59</v>
      </c>
      <c r="B1" s="22"/>
      <c r="C1" s="22"/>
      <c r="D1" s="22"/>
    </row>
    <row r="4" spans="1:4" x14ac:dyDescent="0.35">
      <c r="A4" t="s">
        <v>2</v>
      </c>
      <c r="B4">
        <f>CRUDI!G204</f>
        <v>2</v>
      </c>
      <c r="C4">
        <f>1*B4</f>
        <v>2</v>
      </c>
    </row>
    <row r="5" spans="1:4" x14ac:dyDescent="0.35">
      <c r="A5" t="s">
        <v>3</v>
      </c>
      <c r="B5">
        <f>CRUDI!G205</f>
        <v>0</v>
      </c>
      <c r="C5">
        <f>2*B5</f>
        <v>0</v>
      </c>
    </row>
    <row r="6" spans="1:4" x14ac:dyDescent="0.35">
      <c r="A6" t="s">
        <v>4</v>
      </c>
      <c r="B6">
        <f>CRUDI!G206</f>
        <v>0</v>
      </c>
      <c r="C6">
        <f>3*B6</f>
        <v>0</v>
      </c>
    </row>
    <row r="7" spans="1:4" x14ac:dyDescent="0.35">
      <c r="A7" t="s">
        <v>5</v>
      </c>
      <c r="B7">
        <f>CRUDI!G207</f>
        <v>0</v>
      </c>
      <c r="C7">
        <f>4*B7</f>
        <v>0</v>
      </c>
    </row>
    <row r="8" spans="1:4" x14ac:dyDescent="0.35">
      <c r="A8" t="s">
        <v>6</v>
      </c>
      <c r="B8">
        <f>CRUDI!G208</f>
        <v>0</v>
      </c>
      <c r="C8">
        <f>5*B8</f>
        <v>0</v>
      </c>
    </row>
    <row r="9" spans="1:4" x14ac:dyDescent="0.35">
      <c r="A9" t="s">
        <v>7</v>
      </c>
      <c r="B9">
        <f>CRUDI!G209</f>
        <v>0</v>
      </c>
      <c r="C9">
        <f>6*B9</f>
        <v>0</v>
      </c>
    </row>
    <row r="10" spans="1:4" x14ac:dyDescent="0.35">
      <c r="A10" t="s">
        <v>8</v>
      </c>
      <c r="B10">
        <f>CRUDI!G210</f>
        <v>0</v>
      </c>
      <c r="C10">
        <f>7*B10</f>
        <v>0</v>
      </c>
    </row>
    <row r="11" spans="1:4" x14ac:dyDescent="0.35">
      <c r="A11" t="s">
        <v>9</v>
      </c>
      <c r="B11">
        <f>CRUDI!G211</f>
        <v>0</v>
      </c>
      <c r="C11">
        <f>8*B11</f>
        <v>0</v>
      </c>
    </row>
    <row r="12" spans="1:4" x14ac:dyDescent="0.35">
      <c r="A12" t="s">
        <v>10</v>
      </c>
      <c r="B12">
        <f>CRUDI!G212</f>
        <v>0</v>
      </c>
      <c r="C12">
        <f>9*B12</f>
        <v>0</v>
      </c>
    </row>
    <row r="13" spans="1:4" x14ac:dyDescent="0.35">
      <c r="A13" t="s">
        <v>11</v>
      </c>
      <c r="B13">
        <f>CRUDI!G213</f>
        <v>0</v>
      </c>
      <c r="C13">
        <f>10*B13</f>
        <v>0</v>
      </c>
    </row>
    <row r="14" spans="1:4" x14ac:dyDescent="0.35">
      <c r="A14" t="s">
        <v>12</v>
      </c>
      <c r="B14">
        <f>CRUDI!G214</f>
        <v>0</v>
      </c>
      <c r="C14">
        <f>11*B14</f>
        <v>0</v>
      </c>
    </row>
    <row r="15" spans="1:4" x14ac:dyDescent="0.35">
      <c r="A15" t="s">
        <v>13</v>
      </c>
      <c r="B15">
        <f>CRUDI!G215</f>
        <v>0</v>
      </c>
      <c r="C15">
        <f>12*B15</f>
        <v>0</v>
      </c>
    </row>
    <row r="16" spans="1:4" x14ac:dyDescent="0.35">
      <c r="A16" t="s">
        <v>14</v>
      </c>
      <c r="B16">
        <f>CRUDI!G216</f>
        <v>0</v>
      </c>
      <c r="C16">
        <f>13*B16</f>
        <v>0</v>
      </c>
    </row>
    <row r="17" spans="1:3" x14ac:dyDescent="0.35">
      <c r="A17" t="s">
        <v>15</v>
      </c>
      <c r="B17">
        <f>CRUDI!G217</f>
        <v>0</v>
      </c>
      <c r="C17">
        <f>14*B17</f>
        <v>0</v>
      </c>
    </row>
    <row r="18" spans="1:3" x14ac:dyDescent="0.35">
      <c r="A18" t="s">
        <v>16</v>
      </c>
      <c r="B18">
        <f>CRUDI!G218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2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9"/>
  <sheetViews>
    <sheetView workbookViewId="0">
      <selection activeCell="D19" sqref="A1:D19"/>
    </sheetView>
  </sheetViews>
  <sheetFormatPr defaultRowHeight="14.5" x14ac:dyDescent="0.35"/>
  <sheetData>
    <row r="1" spans="1:4" ht="30" customHeight="1" x14ac:dyDescent="0.35">
      <c r="A1" s="22" t="s">
        <v>60</v>
      </c>
      <c r="B1" s="22"/>
      <c r="C1" s="22"/>
      <c r="D1" s="22"/>
    </row>
    <row r="4" spans="1:4" x14ac:dyDescent="0.35">
      <c r="A4" t="s">
        <v>2</v>
      </c>
      <c r="B4">
        <f>CRUDI!H204</f>
        <v>1</v>
      </c>
      <c r="C4">
        <f>1*B4</f>
        <v>1</v>
      </c>
    </row>
    <row r="5" spans="1:4" x14ac:dyDescent="0.35">
      <c r="A5" t="s">
        <v>3</v>
      </c>
      <c r="B5">
        <f>CRUDI!H205</f>
        <v>3</v>
      </c>
      <c r="C5">
        <f>2*B5</f>
        <v>6</v>
      </c>
    </row>
    <row r="6" spans="1:4" x14ac:dyDescent="0.35">
      <c r="A6" t="s">
        <v>4</v>
      </c>
      <c r="B6">
        <f>CRUDI!H206</f>
        <v>0</v>
      </c>
      <c r="C6">
        <f>3*B6</f>
        <v>0</v>
      </c>
    </row>
    <row r="7" spans="1:4" x14ac:dyDescent="0.35">
      <c r="A7" t="s">
        <v>5</v>
      </c>
      <c r="B7">
        <f>CRUDI!H207</f>
        <v>0</v>
      </c>
      <c r="C7">
        <f>4*B7</f>
        <v>0</v>
      </c>
    </row>
    <row r="8" spans="1:4" x14ac:dyDescent="0.35">
      <c r="A8" t="s">
        <v>6</v>
      </c>
      <c r="B8">
        <f>CRUDI!H208</f>
        <v>0</v>
      </c>
      <c r="C8">
        <f>5*B8</f>
        <v>0</v>
      </c>
    </row>
    <row r="9" spans="1:4" x14ac:dyDescent="0.35">
      <c r="A9" t="s">
        <v>7</v>
      </c>
      <c r="B9">
        <f>CRUDI!H209</f>
        <v>0</v>
      </c>
      <c r="C9">
        <f>6*B9</f>
        <v>0</v>
      </c>
    </row>
    <row r="10" spans="1:4" x14ac:dyDescent="0.35">
      <c r="A10" t="s">
        <v>8</v>
      </c>
      <c r="B10">
        <f>CRUDI!H210</f>
        <v>0</v>
      </c>
      <c r="C10">
        <f>7*B10</f>
        <v>0</v>
      </c>
    </row>
    <row r="11" spans="1:4" x14ac:dyDescent="0.35">
      <c r="A11" t="s">
        <v>9</v>
      </c>
      <c r="B11">
        <f>CRUDI!H211</f>
        <v>0</v>
      </c>
      <c r="C11">
        <f>8*B11</f>
        <v>0</v>
      </c>
    </row>
    <row r="12" spans="1:4" x14ac:dyDescent="0.35">
      <c r="A12" t="s">
        <v>10</v>
      </c>
      <c r="B12">
        <f>CRUDI!H212</f>
        <v>0</v>
      </c>
      <c r="C12">
        <f>9*B12</f>
        <v>0</v>
      </c>
    </row>
    <row r="13" spans="1:4" x14ac:dyDescent="0.35">
      <c r="A13" t="s">
        <v>11</v>
      </c>
      <c r="B13">
        <f>CRUDI!H213</f>
        <v>0</v>
      </c>
      <c r="C13">
        <f>10*B13</f>
        <v>0</v>
      </c>
    </row>
    <row r="14" spans="1:4" x14ac:dyDescent="0.35">
      <c r="A14" t="s">
        <v>12</v>
      </c>
      <c r="B14">
        <f>CRUDI!H214</f>
        <v>0</v>
      </c>
      <c r="C14">
        <f>11*B14</f>
        <v>0</v>
      </c>
    </row>
    <row r="15" spans="1:4" x14ac:dyDescent="0.35">
      <c r="A15" t="s">
        <v>13</v>
      </c>
      <c r="B15">
        <f>CRUDI!H215</f>
        <v>0</v>
      </c>
      <c r="C15">
        <f>12*B15</f>
        <v>0</v>
      </c>
    </row>
    <row r="16" spans="1:4" x14ac:dyDescent="0.35">
      <c r="A16" t="s">
        <v>14</v>
      </c>
      <c r="B16">
        <f>CRUDI!H216</f>
        <v>0</v>
      </c>
      <c r="C16">
        <f>13*B16</f>
        <v>0</v>
      </c>
    </row>
    <row r="17" spans="1:3" x14ac:dyDescent="0.35">
      <c r="A17" t="s">
        <v>15</v>
      </c>
      <c r="B17">
        <f>CRUDI!H217</f>
        <v>0</v>
      </c>
      <c r="C17">
        <f>14*B17</f>
        <v>0</v>
      </c>
    </row>
    <row r="18" spans="1:3" x14ac:dyDescent="0.35">
      <c r="A18" t="s">
        <v>16</v>
      </c>
      <c r="B18">
        <f>CRUDI!H218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7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9"/>
  <sheetViews>
    <sheetView topLeftCell="A10" workbookViewId="0">
      <selection activeCell="D19" sqref="A1:D19"/>
    </sheetView>
  </sheetViews>
  <sheetFormatPr defaultRowHeight="14.5" x14ac:dyDescent="0.35"/>
  <cols>
    <col min="4" max="4" width="6.81640625" customWidth="1"/>
  </cols>
  <sheetData>
    <row r="1" spans="1:4" ht="51" customHeight="1" x14ac:dyDescent="0.35">
      <c r="A1" s="22" t="s">
        <v>61</v>
      </c>
      <c r="B1" s="22"/>
      <c r="C1" s="22"/>
      <c r="D1" s="22"/>
    </row>
    <row r="4" spans="1:4" x14ac:dyDescent="0.35">
      <c r="A4" t="s">
        <v>2</v>
      </c>
      <c r="B4">
        <f>PRIMI!C204</f>
        <v>15</v>
      </c>
      <c r="C4">
        <f>1*B4</f>
        <v>15</v>
      </c>
    </row>
    <row r="5" spans="1:4" x14ac:dyDescent="0.35">
      <c r="A5" t="s">
        <v>3</v>
      </c>
      <c r="B5">
        <f>PRIMI!C205</f>
        <v>11</v>
      </c>
      <c r="C5">
        <f>2*B5</f>
        <v>22</v>
      </c>
    </row>
    <row r="6" spans="1:4" x14ac:dyDescent="0.35">
      <c r="A6" t="s">
        <v>4</v>
      </c>
      <c r="B6">
        <f>PRIMI!C206</f>
        <v>3</v>
      </c>
      <c r="C6">
        <f>3*B6</f>
        <v>9</v>
      </c>
    </row>
    <row r="7" spans="1:4" x14ac:dyDescent="0.35">
      <c r="A7" t="s">
        <v>5</v>
      </c>
      <c r="B7">
        <f>PRIMI!C207</f>
        <v>4</v>
      </c>
      <c r="C7">
        <f>4*B7</f>
        <v>16</v>
      </c>
    </row>
    <row r="8" spans="1:4" x14ac:dyDescent="0.35">
      <c r="A8" t="s">
        <v>6</v>
      </c>
      <c r="B8">
        <f>PRIMI!C208</f>
        <v>1</v>
      </c>
      <c r="C8">
        <f>5*B8</f>
        <v>5</v>
      </c>
    </row>
    <row r="9" spans="1:4" x14ac:dyDescent="0.35">
      <c r="A9" t="s">
        <v>7</v>
      </c>
      <c r="B9">
        <f>PRIMI!C209</f>
        <v>0</v>
      </c>
      <c r="C9">
        <f>6*B9</f>
        <v>0</v>
      </c>
    </row>
    <row r="10" spans="1:4" x14ac:dyDescent="0.35">
      <c r="A10" t="s">
        <v>8</v>
      </c>
      <c r="B10">
        <f>PRIMI!C210</f>
        <v>0</v>
      </c>
      <c r="C10">
        <f>7*B10</f>
        <v>0</v>
      </c>
    </row>
    <row r="11" spans="1:4" x14ac:dyDescent="0.35">
      <c r="A11" t="s">
        <v>9</v>
      </c>
      <c r="B11">
        <f>PRIMI!C211</f>
        <v>0</v>
      </c>
      <c r="C11">
        <f>8*B11</f>
        <v>0</v>
      </c>
    </row>
    <row r="12" spans="1:4" x14ac:dyDescent="0.35">
      <c r="A12" t="s">
        <v>10</v>
      </c>
      <c r="B12">
        <f>PRIMI!C212</f>
        <v>0</v>
      </c>
      <c r="C12">
        <f>9*B12</f>
        <v>0</v>
      </c>
    </row>
    <row r="13" spans="1:4" x14ac:dyDescent="0.35">
      <c r="A13" t="s">
        <v>11</v>
      </c>
      <c r="B13">
        <f>PRIMI!C213</f>
        <v>0</v>
      </c>
      <c r="C13">
        <f>10*B13</f>
        <v>0</v>
      </c>
    </row>
    <row r="14" spans="1:4" x14ac:dyDescent="0.35">
      <c r="A14" t="s">
        <v>12</v>
      </c>
      <c r="B14">
        <f>PRIMI!C214</f>
        <v>0</v>
      </c>
      <c r="C14">
        <f>11*B14</f>
        <v>0</v>
      </c>
    </row>
    <row r="15" spans="1:4" x14ac:dyDescent="0.35">
      <c r="A15" t="s">
        <v>13</v>
      </c>
      <c r="B15">
        <f>PRIMI!C215</f>
        <v>0</v>
      </c>
      <c r="C15">
        <f>12*B15</f>
        <v>0</v>
      </c>
    </row>
    <row r="16" spans="1:4" x14ac:dyDescent="0.35">
      <c r="A16" t="s">
        <v>14</v>
      </c>
      <c r="B16">
        <f>PRIMI!C216</f>
        <v>0</v>
      </c>
      <c r="C16">
        <f>13*B16</f>
        <v>0</v>
      </c>
    </row>
    <row r="17" spans="1:3" x14ac:dyDescent="0.35">
      <c r="A17" t="s">
        <v>15</v>
      </c>
      <c r="B17">
        <f>PRIMI!C217</f>
        <v>0</v>
      </c>
      <c r="C17">
        <f>14*B17</f>
        <v>0</v>
      </c>
    </row>
    <row r="18" spans="1:3" x14ac:dyDescent="0.35">
      <c r="A18" t="s">
        <v>16</v>
      </c>
      <c r="B18">
        <f>PRIMI!C218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67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29.5" customHeight="1" x14ac:dyDescent="0.35">
      <c r="A1" s="22" t="s">
        <v>62</v>
      </c>
      <c r="B1" s="22"/>
      <c r="C1" s="22"/>
      <c r="D1" s="22"/>
    </row>
    <row r="4" spans="1:4" x14ac:dyDescent="0.35">
      <c r="A4" t="s">
        <v>2</v>
      </c>
      <c r="B4">
        <f>PRIMI!D204</f>
        <v>10</v>
      </c>
      <c r="C4">
        <f>1*B4</f>
        <v>10</v>
      </c>
    </row>
    <row r="5" spans="1:4" x14ac:dyDescent="0.35">
      <c r="A5" t="s">
        <v>3</v>
      </c>
      <c r="B5">
        <f>PRIMI!D205</f>
        <v>4</v>
      </c>
      <c r="C5">
        <f>2*B5</f>
        <v>8</v>
      </c>
    </row>
    <row r="6" spans="1:4" x14ac:dyDescent="0.35">
      <c r="A6" t="s">
        <v>4</v>
      </c>
      <c r="B6">
        <f>PRIMI!D206</f>
        <v>3</v>
      </c>
      <c r="C6">
        <f>3*B6</f>
        <v>9</v>
      </c>
    </row>
    <row r="7" spans="1:4" x14ac:dyDescent="0.35">
      <c r="A7" t="s">
        <v>5</v>
      </c>
      <c r="B7">
        <f>PRIMI!D207</f>
        <v>2</v>
      </c>
      <c r="C7">
        <f>4*B7</f>
        <v>8</v>
      </c>
    </row>
    <row r="8" spans="1:4" x14ac:dyDescent="0.35">
      <c r="A8" t="s">
        <v>6</v>
      </c>
      <c r="B8">
        <f>PRIMI!D208</f>
        <v>0</v>
      </c>
      <c r="C8">
        <f>5*B8</f>
        <v>0</v>
      </c>
    </row>
    <row r="9" spans="1:4" x14ac:dyDescent="0.35">
      <c r="A9" t="s">
        <v>7</v>
      </c>
      <c r="B9">
        <f>PRIMI!D209</f>
        <v>2</v>
      </c>
      <c r="C9">
        <f>6*B9</f>
        <v>12</v>
      </c>
    </row>
    <row r="10" spans="1:4" x14ac:dyDescent="0.35">
      <c r="A10" t="s">
        <v>8</v>
      </c>
      <c r="B10">
        <f>PRIMI!D210</f>
        <v>0</v>
      </c>
      <c r="C10">
        <f>7*B10</f>
        <v>0</v>
      </c>
    </row>
    <row r="11" spans="1:4" x14ac:dyDescent="0.35">
      <c r="A11" t="s">
        <v>9</v>
      </c>
      <c r="B11">
        <f>PRIMI!D211</f>
        <v>1</v>
      </c>
      <c r="C11">
        <f>8*B11</f>
        <v>8</v>
      </c>
    </row>
    <row r="12" spans="1:4" x14ac:dyDescent="0.35">
      <c r="A12" t="s">
        <v>10</v>
      </c>
      <c r="B12">
        <f>PRIMI!D212</f>
        <v>0</v>
      </c>
      <c r="C12">
        <f>9*B12</f>
        <v>0</v>
      </c>
    </row>
    <row r="13" spans="1:4" x14ac:dyDescent="0.35">
      <c r="A13" t="s">
        <v>11</v>
      </c>
      <c r="B13">
        <f>PRIMI!D213</f>
        <v>0</v>
      </c>
      <c r="C13">
        <f>10*B13</f>
        <v>0</v>
      </c>
    </row>
    <row r="14" spans="1:4" x14ac:dyDescent="0.35">
      <c r="A14" t="s">
        <v>12</v>
      </c>
      <c r="B14">
        <f>PRIMI!D214</f>
        <v>0</v>
      </c>
      <c r="C14">
        <f>11*B14</f>
        <v>0</v>
      </c>
    </row>
    <row r="15" spans="1:4" x14ac:dyDescent="0.35">
      <c r="A15" t="s">
        <v>13</v>
      </c>
      <c r="B15">
        <f>PRIMI!D215</f>
        <v>0</v>
      </c>
      <c r="C15">
        <f>12*B15</f>
        <v>0</v>
      </c>
    </row>
    <row r="16" spans="1:4" x14ac:dyDescent="0.35">
      <c r="A16" t="s">
        <v>14</v>
      </c>
      <c r="B16">
        <f>PRIMI!D216</f>
        <v>0</v>
      </c>
      <c r="C16">
        <f>13*B16</f>
        <v>0</v>
      </c>
    </row>
    <row r="17" spans="1:3" x14ac:dyDescent="0.35">
      <c r="A17" t="s">
        <v>15</v>
      </c>
      <c r="B17">
        <f>PRIMI!D217</f>
        <v>0</v>
      </c>
      <c r="C17">
        <f>14*B17</f>
        <v>0</v>
      </c>
    </row>
    <row r="18" spans="1:3" x14ac:dyDescent="0.35">
      <c r="A18" t="s">
        <v>16</v>
      </c>
      <c r="B18">
        <f>PRIMI!D218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55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0" customHeight="1" x14ac:dyDescent="0.35">
      <c r="A1" s="22" t="s">
        <v>100</v>
      </c>
      <c r="B1" s="22"/>
      <c r="C1" s="22"/>
      <c r="D1" s="22"/>
    </row>
    <row r="4" spans="1:4" x14ac:dyDescent="0.35">
      <c r="A4" t="s">
        <v>2</v>
      </c>
      <c r="B4">
        <f>PRIMI!E204</f>
        <v>12</v>
      </c>
      <c r="C4">
        <f>1*B4</f>
        <v>12</v>
      </c>
    </row>
    <row r="5" spans="1:4" x14ac:dyDescent="0.35">
      <c r="A5" t="s">
        <v>3</v>
      </c>
      <c r="B5">
        <f>PRIMI!E205</f>
        <v>4</v>
      </c>
      <c r="C5">
        <f>2*B5</f>
        <v>8</v>
      </c>
    </row>
    <row r="6" spans="1:4" x14ac:dyDescent="0.35">
      <c r="A6" t="s">
        <v>4</v>
      </c>
      <c r="B6">
        <f>PRIMI!E206</f>
        <v>1</v>
      </c>
      <c r="C6">
        <f>3*B6</f>
        <v>3</v>
      </c>
    </row>
    <row r="7" spans="1:4" x14ac:dyDescent="0.35">
      <c r="A7" t="s">
        <v>5</v>
      </c>
      <c r="B7">
        <f>PRIMI!E207</f>
        <v>0</v>
      </c>
      <c r="C7">
        <f>4*B7</f>
        <v>0</v>
      </c>
    </row>
    <row r="8" spans="1:4" x14ac:dyDescent="0.35">
      <c r="A8" t="s">
        <v>6</v>
      </c>
      <c r="B8">
        <f>PRIMI!E208</f>
        <v>0</v>
      </c>
      <c r="C8">
        <f>5*B8</f>
        <v>0</v>
      </c>
    </row>
    <row r="9" spans="1:4" x14ac:dyDescent="0.35">
      <c r="A9" t="s">
        <v>7</v>
      </c>
      <c r="B9">
        <f>PRIMI!E209</f>
        <v>0</v>
      </c>
      <c r="C9">
        <f>6*B9</f>
        <v>0</v>
      </c>
    </row>
    <row r="10" spans="1:4" x14ac:dyDescent="0.35">
      <c r="A10" t="s">
        <v>8</v>
      </c>
      <c r="B10">
        <f>PRIMI!E210</f>
        <v>0</v>
      </c>
      <c r="C10">
        <f>7*B10</f>
        <v>0</v>
      </c>
    </row>
    <row r="11" spans="1:4" x14ac:dyDescent="0.35">
      <c r="A11" t="s">
        <v>9</v>
      </c>
      <c r="B11">
        <f>PRIMI!E211</f>
        <v>0</v>
      </c>
      <c r="C11">
        <f>8*B11</f>
        <v>0</v>
      </c>
    </row>
    <row r="12" spans="1:4" x14ac:dyDescent="0.35">
      <c r="A12" t="s">
        <v>10</v>
      </c>
      <c r="B12">
        <f>PRIMI!E212</f>
        <v>0</v>
      </c>
      <c r="C12">
        <f>9*B12</f>
        <v>0</v>
      </c>
    </row>
    <row r="13" spans="1:4" x14ac:dyDescent="0.35">
      <c r="A13" t="s">
        <v>11</v>
      </c>
      <c r="B13">
        <f>PRIMI!E213</f>
        <v>0</v>
      </c>
      <c r="C13">
        <f>10*B13</f>
        <v>0</v>
      </c>
    </row>
    <row r="14" spans="1:4" x14ac:dyDescent="0.35">
      <c r="A14" t="s">
        <v>12</v>
      </c>
      <c r="B14">
        <f>PRIMI!E214</f>
        <v>0</v>
      </c>
      <c r="C14">
        <f>11*B14</f>
        <v>0</v>
      </c>
    </row>
    <row r="15" spans="1:4" x14ac:dyDescent="0.35">
      <c r="A15" t="s">
        <v>13</v>
      </c>
      <c r="B15">
        <f>PRIMI!E215</f>
        <v>0</v>
      </c>
      <c r="C15">
        <f>12*B15</f>
        <v>0</v>
      </c>
    </row>
    <row r="16" spans="1:4" x14ac:dyDescent="0.35">
      <c r="A16" t="s">
        <v>14</v>
      </c>
      <c r="B16">
        <f>PRIMI!E216</f>
        <v>0</v>
      </c>
      <c r="C16">
        <f>13*B16</f>
        <v>0</v>
      </c>
    </row>
    <row r="17" spans="1:3" x14ac:dyDescent="0.35">
      <c r="A17" t="s">
        <v>15</v>
      </c>
      <c r="B17">
        <f>PRIMI!E217</f>
        <v>0</v>
      </c>
      <c r="C17">
        <f>14*B17</f>
        <v>0</v>
      </c>
    </row>
    <row r="18" spans="1:3" x14ac:dyDescent="0.35">
      <c r="A18" t="s">
        <v>16</v>
      </c>
      <c r="B18">
        <f>PRIMI!E218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23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9"/>
  <sheetViews>
    <sheetView workbookViewId="0">
      <selection activeCell="D19" sqref="A1:D19"/>
    </sheetView>
  </sheetViews>
  <sheetFormatPr defaultRowHeight="14.5" x14ac:dyDescent="0.35"/>
  <sheetData>
    <row r="1" spans="1:4" ht="31" customHeight="1" x14ac:dyDescent="0.35">
      <c r="A1" s="22" t="s">
        <v>101</v>
      </c>
      <c r="B1" s="22"/>
      <c r="C1" s="22"/>
      <c r="D1" s="22"/>
    </row>
    <row r="4" spans="1:4" x14ac:dyDescent="0.35">
      <c r="A4" t="s">
        <v>2</v>
      </c>
      <c r="B4">
        <f>PRIMI!F204</f>
        <v>7</v>
      </c>
      <c r="C4">
        <f>1*B4</f>
        <v>7</v>
      </c>
    </row>
    <row r="5" spans="1:4" x14ac:dyDescent="0.35">
      <c r="A5" t="s">
        <v>3</v>
      </c>
      <c r="B5">
        <f>PRIMI!F205</f>
        <v>3</v>
      </c>
      <c r="C5">
        <f>2*B5</f>
        <v>6</v>
      </c>
    </row>
    <row r="6" spans="1:4" x14ac:dyDescent="0.35">
      <c r="A6" t="s">
        <v>4</v>
      </c>
      <c r="B6">
        <f>PRIMI!F206</f>
        <v>1</v>
      </c>
      <c r="C6">
        <f>3*B6</f>
        <v>3</v>
      </c>
    </row>
    <row r="7" spans="1:4" x14ac:dyDescent="0.35">
      <c r="A7" t="s">
        <v>5</v>
      </c>
      <c r="B7">
        <f>PRIMI!F207</f>
        <v>1</v>
      </c>
      <c r="C7">
        <f>4*B7</f>
        <v>4</v>
      </c>
    </row>
    <row r="8" spans="1:4" x14ac:dyDescent="0.35">
      <c r="A8" t="s">
        <v>6</v>
      </c>
      <c r="B8">
        <f>PRIMI!F208</f>
        <v>0</v>
      </c>
      <c r="C8">
        <f>5*B8</f>
        <v>0</v>
      </c>
    </row>
    <row r="9" spans="1:4" x14ac:dyDescent="0.35">
      <c r="A9" t="s">
        <v>7</v>
      </c>
      <c r="B9">
        <f>PRIMI!F209</f>
        <v>0</v>
      </c>
      <c r="C9">
        <f>6*B9</f>
        <v>0</v>
      </c>
    </row>
    <row r="10" spans="1:4" x14ac:dyDescent="0.35">
      <c r="A10" t="s">
        <v>8</v>
      </c>
      <c r="B10">
        <f>PRIMI!F210</f>
        <v>0</v>
      </c>
      <c r="C10">
        <f>7*B10</f>
        <v>0</v>
      </c>
    </row>
    <row r="11" spans="1:4" x14ac:dyDescent="0.35">
      <c r="A11" t="s">
        <v>9</v>
      </c>
      <c r="B11">
        <f>PRIMI!F211</f>
        <v>0</v>
      </c>
      <c r="C11">
        <f>8*B11</f>
        <v>0</v>
      </c>
    </row>
    <row r="12" spans="1:4" x14ac:dyDescent="0.35">
      <c r="A12" t="s">
        <v>10</v>
      </c>
      <c r="B12">
        <f>PRIMI!F212</f>
        <v>0</v>
      </c>
      <c r="C12">
        <f>9*B12</f>
        <v>0</v>
      </c>
    </row>
    <row r="13" spans="1:4" x14ac:dyDescent="0.35">
      <c r="A13" t="s">
        <v>11</v>
      </c>
      <c r="B13">
        <f>PRIMI!F213</f>
        <v>0</v>
      </c>
      <c r="C13">
        <f>10*B13</f>
        <v>0</v>
      </c>
    </row>
    <row r="14" spans="1:4" x14ac:dyDescent="0.35">
      <c r="A14" t="s">
        <v>12</v>
      </c>
      <c r="B14">
        <f>PRIMI!F214</f>
        <v>0</v>
      </c>
      <c r="C14">
        <f>11*B14</f>
        <v>0</v>
      </c>
    </row>
    <row r="15" spans="1:4" x14ac:dyDescent="0.35">
      <c r="A15" t="s">
        <v>13</v>
      </c>
      <c r="B15">
        <f>PRIMI!F215</f>
        <v>0</v>
      </c>
      <c r="C15">
        <f>12*B15</f>
        <v>0</v>
      </c>
    </row>
    <row r="16" spans="1:4" x14ac:dyDescent="0.35">
      <c r="A16" t="s">
        <v>14</v>
      </c>
      <c r="B16">
        <f>PRIMI!F216</f>
        <v>0</v>
      </c>
      <c r="C16">
        <f>13*B16</f>
        <v>0</v>
      </c>
    </row>
    <row r="17" spans="1:3" x14ac:dyDescent="0.35">
      <c r="A17" t="s">
        <v>15</v>
      </c>
      <c r="B17">
        <f>PRIMI!F217</f>
        <v>0</v>
      </c>
      <c r="C17">
        <f>14*B17</f>
        <v>0</v>
      </c>
    </row>
    <row r="18" spans="1:3" x14ac:dyDescent="0.35">
      <c r="A18" t="s">
        <v>16</v>
      </c>
      <c r="B18">
        <f>PRIMI!F218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20</v>
      </c>
    </row>
  </sheetData>
  <mergeCells count="1">
    <mergeCell ref="A1:D1"/>
  </mergeCells>
  <pageMargins left="0.7" right="0.7" top="0.75" bottom="0.75" header="0.3" footer="0.3"/>
  <pageSetup paperSize="9" orientation="portrait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0"/>
  <sheetViews>
    <sheetView tabSelected="1" workbookViewId="0">
      <selection activeCell="D20" sqref="A1:D20"/>
    </sheetView>
  </sheetViews>
  <sheetFormatPr defaultRowHeight="14.5" x14ac:dyDescent="0.35"/>
  <sheetData>
    <row r="1" spans="1:4" ht="29" customHeight="1" x14ac:dyDescent="0.35">
      <c r="A1" s="22" t="s">
        <v>63</v>
      </c>
      <c r="B1" s="22"/>
      <c r="C1" s="22"/>
      <c r="D1" s="22"/>
    </row>
    <row r="4" spans="1:4" x14ac:dyDescent="0.35">
      <c r="A4" t="s">
        <v>2</v>
      </c>
      <c r="B4">
        <f>PRIMI!G204</f>
        <v>0</v>
      </c>
      <c r="C4">
        <f>1*B4</f>
        <v>0</v>
      </c>
    </row>
    <row r="5" spans="1:4" x14ac:dyDescent="0.35">
      <c r="A5" t="s">
        <v>3</v>
      </c>
      <c r="B5">
        <f>PRIMI!G205</f>
        <v>2</v>
      </c>
      <c r="C5">
        <f>2*B5</f>
        <v>4</v>
      </c>
    </row>
    <row r="6" spans="1:4" x14ac:dyDescent="0.35">
      <c r="A6" t="s">
        <v>4</v>
      </c>
      <c r="B6">
        <f>PRIMI!G206</f>
        <v>1</v>
      </c>
      <c r="C6">
        <f>3*B6</f>
        <v>3</v>
      </c>
    </row>
    <row r="7" spans="1:4" x14ac:dyDescent="0.35">
      <c r="A7" t="s">
        <v>5</v>
      </c>
      <c r="B7">
        <f>PRIMI!G207</f>
        <v>5</v>
      </c>
      <c r="C7">
        <f>4*B7</f>
        <v>20</v>
      </c>
    </row>
    <row r="8" spans="1:4" x14ac:dyDescent="0.35">
      <c r="A8" t="s">
        <v>6</v>
      </c>
      <c r="B8">
        <f>PRIMI!G208</f>
        <v>2</v>
      </c>
      <c r="C8">
        <f>5*B8</f>
        <v>10</v>
      </c>
    </row>
    <row r="9" spans="1:4" x14ac:dyDescent="0.35">
      <c r="A9" t="s">
        <v>7</v>
      </c>
      <c r="B9">
        <f>PRIMI!G209</f>
        <v>4</v>
      </c>
      <c r="C9">
        <f>6*B9</f>
        <v>24</v>
      </c>
    </row>
    <row r="10" spans="1:4" x14ac:dyDescent="0.35">
      <c r="A10" t="s">
        <v>8</v>
      </c>
      <c r="B10">
        <f>PRIMI!G210</f>
        <v>2</v>
      </c>
      <c r="C10">
        <f>7*B10</f>
        <v>14</v>
      </c>
    </row>
    <row r="11" spans="1:4" x14ac:dyDescent="0.35">
      <c r="A11" t="s">
        <v>9</v>
      </c>
      <c r="B11">
        <f>PRIMI!G211</f>
        <v>4</v>
      </c>
      <c r="C11">
        <f>8*B11</f>
        <v>32</v>
      </c>
    </row>
    <row r="12" spans="1:4" x14ac:dyDescent="0.35">
      <c r="A12" t="s">
        <v>10</v>
      </c>
      <c r="B12">
        <f>PRIMI!G212</f>
        <v>0</v>
      </c>
      <c r="C12">
        <f>9*B12</f>
        <v>0</v>
      </c>
    </row>
    <row r="13" spans="1:4" x14ac:dyDescent="0.35">
      <c r="A13" t="s">
        <v>11</v>
      </c>
      <c r="B13">
        <f>PRIMI!G213</f>
        <v>4</v>
      </c>
      <c r="C13">
        <f>10*B13</f>
        <v>40</v>
      </c>
    </row>
    <row r="14" spans="1:4" x14ac:dyDescent="0.35">
      <c r="A14" t="s">
        <v>12</v>
      </c>
      <c r="B14">
        <f>PRIMI!G214</f>
        <v>0</v>
      </c>
      <c r="C14">
        <f>11*B14</f>
        <v>0</v>
      </c>
    </row>
    <row r="15" spans="1:4" x14ac:dyDescent="0.35">
      <c r="A15" t="s">
        <v>13</v>
      </c>
      <c r="B15">
        <f>PRIMI!G215</f>
        <v>4</v>
      </c>
      <c r="C15">
        <f>12*B15</f>
        <v>48</v>
      </c>
    </row>
    <row r="16" spans="1:4" x14ac:dyDescent="0.35">
      <c r="A16" t="s">
        <v>14</v>
      </c>
      <c r="B16">
        <f>PRIMI!G216</f>
        <v>0</v>
      </c>
      <c r="C16">
        <f>13*B16</f>
        <v>0</v>
      </c>
    </row>
    <row r="17" spans="1:3" x14ac:dyDescent="0.35">
      <c r="A17" t="s">
        <v>15</v>
      </c>
      <c r="B17">
        <f>PRIMI!G217</f>
        <v>0</v>
      </c>
      <c r="C17">
        <f>14*B17</f>
        <v>0</v>
      </c>
    </row>
    <row r="18" spans="1:3" x14ac:dyDescent="0.35">
      <c r="A18" t="s">
        <v>16</v>
      </c>
      <c r="B18">
        <f>PRIMI!G218</f>
        <v>0</v>
      </c>
      <c r="C18">
        <f>15*B18</f>
        <v>0</v>
      </c>
    </row>
    <row r="19" spans="1:3" x14ac:dyDescent="0.35">
      <c r="A19" t="s">
        <v>81</v>
      </c>
      <c r="B19">
        <f>PRIMI!G228</f>
        <v>1</v>
      </c>
      <c r="C19">
        <f>25*B19</f>
        <v>25</v>
      </c>
    </row>
    <row r="20" spans="1:3" x14ac:dyDescent="0.35">
      <c r="B20" s="6" t="s">
        <v>1</v>
      </c>
      <c r="C20" s="6">
        <f>SUM(C4:C19)</f>
        <v>220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9"/>
  <sheetViews>
    <sheetView workbookViewId="0">
      <selection activeCell="D19" sqref="A1:D19"/>
    </sheetView>
  </sheetViews>
  <sheetFormatPr defaultRowHeight="14.5" x14ac:dyDescent="0.35"/>
  <sheetData>
    <row r="1" spans="1:4" ht="38.5" customHeight="1" x14ac:dyDescent="0.35">
      <c r="A1" s="22" t="s">
        <v>64</v>
      </c>
      <c r="B1" s="22"/>
      <c r="C1" s="22"/>
      <c r="D1" s="22"/>
    </row>
    <row r="2" spans="1:4" ht="15.5" customHeight="1" x14ac:dyDescent="0.35"/>
    <row r="4" spans="1:4" x14ac:dyDescent="0.35">
      <c r="A4" t="s">
        <v>2</v>
      </c>
      <c r="B4">
        <f>SUGHI!C203</f>
        <v>0</v>
      </c>
      <c r="C4">
        <f>1*B4</f>
        <v>0</v>
      </c>
    </row>
    <row r="5" spans="1:4" x14ac:dyDescent="0.35">
      <c r="A5" t="s">
        <v>3</v>
      </c>
      <c r="B5">
        <f>SUGHI!C204</f>
        <v>6</v>
      </c>
      <c r="C5">
        <f>2*B5</f>
        <v>12</v>
      </c>
    </row>
    <row r="6" spans="1:4" x14ac:dyDescent="0.35">
      <c r="A6" t="s">
        <v>4</v>
      </c>
      <c r="B6">
        <f>SUGHI!C205</f>
        <v>7</v>
      </c>
      <c r="C6">
        <f>3*B6</f>
        <v>21</v>
      </c>
    </row>
    <row r="7" spans="1:4" x14ac:dyDescent="0.35">
      <c r="A7" t="s">
        <v>5</v>
      </c>
      <c r="B7">
        <f>SUGHI!C206</f>
        <v>2</v>
      </c>
      <c r="C7">
        <f>4*B7</f>
        <v>8</v>
      </c>
    </row>
    <row r="8" spans="1:4" x14ac:dyDescent="0.35">
      <c r="A8" t="s">
        <v>6</v>
      </c>
      <c r="B8">
        <f>SUGHI!C207</f>
        <v>3</v>
      </c>
      <c r="C8">
        <f>5*B8</f>
        <v>15</v>
      </c>
    </row>
    <row r="9" spans="1:4" x14ac:dyDescent="0.35">
      <c r="A9" t="s">
        <v>7</v>
      </c>
      <c r="B9">
        <f>SUGHI!C208</f>
        <v>0</v>
      </c>
      <c r="C9">
        <f>6*B9</f>
        <v>0</v>
      </c>
    </row>
    <row r="10" spans="1:4" x14ac:dyDescent="0.35">
      <c r="A10" t="s">
        <v>8</v>
      </c>
      <c r="B10">
        <f>SUGHI!C209</f>
        <v>1</v>
      </c>
      <c r="C10">
        <f>7*B10</f>
        <v>7</v>
      </c>
    </row>
    <row r="11" spans="1:4" x14ac:dyDescent="0.35">
      <c r="A11" t="s">
        <v>9</v>
      </c>
      <c r="B11">
        <f>SUGHI!C210</f>
        <v>2</v>
      </c>
      <c r="C11">
        <f>8*B11</f>
        <v>16</v>
      </c>
    </row>
    <row r="12" spans="1:4" x14ac:dyDescent="0.35">
      <c r="A12" t="s">
        <v>10</v>
      </c>
      <c r="B12">
        <f>SUGHI!C211</f>
        <v>0</v>
      </c>
      <c r="C12">
        <f>9*B12</f>
        <v>0</v>
      </c>
    </row>
    <row r="13" spans="1:4" x14ac:dyDescent="0.35">
      <c r="A13" t="s">
        <v>11</v>
      </c>
      <c r="B13">
        <f>SUGHI!C212</f>
        <v>0</v>
      </c>
      <c r="C13">
        <f>10*B13</f>
        <v>0</v>
      </c>
    </row>
    <row r="14" spans="1:4" x14ac:dyDescent="0.35">
      <c r="A14" t="s">
        <v>12</v>
      </c>
      <c r="B14">
        <f>SUGHI!C213</f>
        <v>0</v>
      </c>
      <c r="C14">
        <f>11*B14</f>
        <v>0</v>
      </c>
    </row>
    <row r="15" spans="1:4" x14ac:dyDescent="0.35">
      <c r="A15" t="s">
        <v>13</v>
      </c>
      <c r="B15">
        <f>SUGHI!C214</f>
        <v>0</v>
      </c>
      <c r="C15">
        <f>12*B15</f>
        <v>0</v>
      </c>
    </row>
    <row r="16" spans="1:4" x14ac:dyDescent="0.35">
      <c r="A16" t="s">
        <v>14</v>
      </c>
      <c r="B16">
        <f>SUGHI!C215</f>
        <v>0</v>
      </c>
      <c r="C16">
        <f>13*B16</f>
        <v>0</v>
      </c>
    </row>
    <row r="17" spans="1:3" x14ac:dyDescent="0.35">
      <c r="A17" t="s">
        <v>15</v>
      </c>
      <c r="B17">
        <f>SUGHI!C216</f>
        <v>0</v>
      </c>
      <c r="C17">
        <f>14*B17</f>
        <v>0</v>
      </c>
    </row>
    <row r="18" spans="1:3" x14ac:dyDescent="0.35">
      <c r="A18" t="s">
        <v>16</v>
      </c>
      <c r="B18">
        <f>SUGHI!C217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79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0.5" customHeight="1" x14ac:dyDescent="0.35">
      <c r="A1" s="22" t="s">
        <v>65</v>
      </c>
      <c r="B1" s="22"/>
      <c r="C1" s="22"/>
      <c r="D1" s="22"/>
    </row>
    <row r="4" spans="1:4" x14ac:dyDescent="0.35">
      <c r="A4" t="s">
        <v>2</v>
      </c>
      <c r="B4">
        <f>SUGHI!D203</f>
        <v>1</v>
      </c>
      <c r="C4">
        <f>1*B4</f>
        <v>1</v>
      </c>
    </row>
    <row r="5" spans="1:4" x14ac:dyDescent="0.35">
      <c r="A5" t="s">
        <v>3</v>
      </c>
      <c r="B5">
        <f>SUGHI!D204</f>
        <v>2</v>
      </c>
      <c r="C5">
        <f>2*B5</f>
        <v>4</v>
      </c>
    </row>
    <row r="6" spans="1:4" x14ac:dyDescent="0.35">
      <c r="A6" t="s">
        <v>4</v>
      </c>
      <c r="B6">
        <f>SUGHI!D205</f>
        <v>0</v>
      </c>
      <c r="C6">
        <f>3*B6</f>
        <v>0</v>
      </c>
    </row>
    <row r="7" spans="1:4" x14ac:dyDescent="0.35">
      <c r="A7" t="s">
        <v>5</v>
      </c>
      <c r="B7">
        <f>SUGHI!D206</f>
        <v>4</v>
      </c>
      <c r="C7">
        <f>4*B7</f>
        <v>16</v>
      </c>
    </row>
    <row r="8" spans="1:4" x14ac:dyDescent="0.35">
      <c r="A8" t="s">
        <v>6</v>
      </c>
      <c r="B8">
        <f>SUGHI!D207</f>
        <v>1</v>
      </c>
      <c r="C8">
        <f>5*B8</f>
        <v>5</v>
      </c>
    </row>
    <row r="9" spans="1:4" x14ac:dyDescent="0.35">
      <c r="A9" t="s">
        <v>7</v>
      </c>
      <c r="B9">
        <f>SUGHI!D208</f>
        <v>0</v>
      </c>
      <c r="C9">
        <f>6*B9</f>
        <v>0</v>
      </c>
    </row>
    <row r="10" spans="1:4" x14ac:dyDescent="0.35">
      <c r="A10" t="s">
        <v>8</v>
      </c>
      <c r="B10">
        <f>SUGHI!D209</f>
        <v>0</v>
      </c>
      <c r="C10">
        <f>7*B10</f>
        <v>0</v>
      </c>
    </row>
    <row r="11" spans="1:4" x14ac:dyDescent="0.35">
      <c r="A11" t="s">
        <v>9</v>
      </c>
      <c r="B11">
        <f>SUGHI!D210</f>
        <v>0</v>
      </c>
      <c r="C11">
        <f>8*B11</f>
        <v>0</v>
      </c>
    </row>
    <row r="12" spans="1:4" x14ac:dyDescent="0.35">
      <c r="A12" t="s">
        <v>10</v>
      </c>
      <c r="B12">
        <f>SUGHI!D211</f>
        <v>0</v>
      </c>
      <c r="C12">
        <f>9*B12</f>
        <v>0</v>
      </c>
    </row>
    <row r="13" spans="1:4" x14ac:dyDescent="0.35">
      <c r="A13" t="s">
        <v>11</v>
      </c>
      <c r="B13">
        <f>SUGHI!D212</f>
        <v>0</v>
      </c>
      <c r="C13">
        <f>10*B13</f>
        <v>0</v>
      </c>
    </row>
    <row r="14" spans="1:4" x14ac:dyDescent="0.35">
      <c r="A14" t="s">
        <v>12</v>
      </c>
      <c r="B14">
        <f>SUGHI!D213</f>
        <v>0</v>
      </c>
      <c r="C14">
        <f>11*B14</f>
        <v>0</v>
      </c>
    </row>
    <row r="15" spans="1:4" x14ac:dyDescent="0.35">
      <c r="A15" t="s">
        <v>13</v>
      </c>
      <c r="B15">
        <f>SUGHI!D214</f>
        <v>0</v>
      </c>
      <c r="C15">
        <f>12*B15</f>
        <v>0</v>
      </c>
    </row>
    <row r="16" spans="1:4" x14ac:dyDescent="0.35">
      <c r="A16" t="s">
        <v>14</v>
      </c>
      <c r="B16">
        <f>SUGHI!D215</f>
        <v>0</v>
      </c>
      <c r="C16">
        <f>13*B16</f>
        <v>0</v>
      </c>
    </row>
    <row r="17" spans="1:3" x14ac:dyDescent="0.35">
      <c r="A17" t="s">
        <v>15</v>
      </c>
      <c r="B17">
        <f>SUGHI!D216</f>
        <v>0</v>
      </c>
      <c r="C17">
        <f>14*B17</f>
        <v>0</v>
      </c>
    </row>
    <row r="18" spans="1:3" x14ac:dyDescent="0.35">
      <c r="A18" t="s">
        <v>16</v>
      </c>
      <c r="B18">
        <f>SUGHI!D217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26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0.5" customHeight="1" x14ac:dyDescent="0.35">
      <c r="A1" s="22" t="s">
        <v>66</v>
      </c>
      <c r="B1" s="22"/>
      <c r="C1" s="22"/>
      <c r="D1" s="22"/>
    </row>
    <row r="4" spans="1:4" x14ac:dyDescent="0.35">
      <c r="A4" t="s">
        <v>2</v>
      </c>
      <c r="B4">
        <f>SUGHI!E203</f>
        <v>1</v>
      </c>
      <c r="C4">
        <f>1*B4</f>
        <v>1</v>
      </c>
    </row>
    <row r="5" spans="1:4" x14ac:dyDescent="0.35">
      <c r="A5" t="s">
        <v>3</v>
      </c>
      <c r="B5">
        <f>SUGHI!E204</f>
        <v>2</v>
      </c>
      <c r="C5">
        <f>2*B5</f>
        <v>4</v>
      </c>
    </row>
    <row r="6" spans="1:4" x14ac:dyDescent="0.35">
      <c r="A6" t="s">
        <v>4</v>
      </c>
      <c r="B6">
        <f>SUGHI!E205</f>
        <v>1</v>
      </c>
      <c r="C6">
        <f>3*B6</f>
        <v>3</v>
      </c>
    </row>
    <row r="7" spans="1:4" x14ac:dyDescent="0.35">
      <c r="A7" t="s">
        <v>5</v>
      </c>
      <c r="B7">
        <f>SUGHI!E206</f>
        <v>0</v>
      </c>
      <c r="C7">
        <f>4*B7</f>
        <v>0</v>
      </c>
    </row>
    <row r="8" spans="1:4" x14ac:dyDescent="0.35">
      <c r="A8" t="s">
        <v>6</v>
      </c>
      <c r="B8">
        <f>SUGHI!E207</f>
        <v>2</v>
      </c>
      <c r="C8">
        <f>5*B8</f>
        <v>10</v>
      </c>
    </row>
    <row r="9" spans="1:4" x14ac:dyDescent="0.35">
      <c r="A9" t="s">
        <v>7</v>
      </c>
      <c r="B9">
        <f>SUGHI!E208</f>
        <v>0</v>
      </c>
      <c r="C9">
        <f>6*B9</f>
        <v>0</v>
      </c>
    </row>
    <row r="10" spans="1:4" x14ac:dyDescent="0.35">
      <c r="A10" t="s">
        <v>8</v>
      </c>
      <c r="B10">
        <f>SUGHI!E209</f>
        <v>0</v>
      </c>
      <c r="C10">
        <f>7*B10</f>
        <v>0</v>
      </c>
    </row>
    <row r="11" spans="1:4" x14ac:dyDescent="0.35">
      <c r="A11" t="s">
        <v>9</v>
      </c>
      <c r="B11">
        <f>SUGHI!E210</f>
        <v>0</v>
      </c>
      <c r="C11">
        <f>8*B11</f>
        <v>0</v>
      </c>
    </row>
    <row r="12" spans="1:4" x14ac:dyDescent="0.35">
      <c r="A12" t="s">
        <v>10</v>
      </c>
      <c r="B12">
        <f>SUGHI!E211</f>
        <v>0</v>
      </c>
      <c r="C12">
        <f>9*B12</f>
        <v>0</v>
      </c>
    </row>
    <row r="13" spans="1:4" x14ac:dyDescent="0.35">
      <c r="A13" t="s">
        <v>11</v>
      </c>
      <c r="B13">
        <f>SUGHI!E212</f>
        <v>0</v>
      </c>
      <c r="C13">
        <f>10*B13</f>
        <v>0</v>
      </c>
    </row>
    <row r="14" spans="1:4" x14ac:dyDescent="0.35">
      <c r="A14" t="s">
        <v>12</v>
      </c>
      <c r="B14">
        <f>SUGHI!E213</f>
        <v>0</v>
      </c>
      <c r="C14">
        <f>11*B14</f>
        <v>0</v>
      </c>
    </row>
    <row r="15" spans="1:4" x14ac:dyDescent="0.35">
      <c r="A15" t="s">
        <v>13</v>
      </c>
      <c r="B15">
        <f>SUGHI!E214</f>
        <v>0</v>
      </c>
      <c r="C15">
        <f>12*B15</f>
        <v>0</v>
      </c>
    </row>
    <row r="16" spans="1:4" x14ac:dyDescent="0.35">
      <c r="A16" t="s">
        <v>14</v>
      </c>
      <c r="B16">
        <f>SUGHI!E215</f>
        <v>0</v>
      </c>
      <c r="C16">
        <f>13*B16</f>
        <v>0</v>
      </c>
    </row>
    <row r="17" spans="1:3" x14ac:dyDescent="0.35">
      <c r="A17" t="s">
        <v>15</v>
      </c>
      <c r="B17">
        <f>SUGHI!E216</f>
        <v>0</v>
      </c>
      <c r="C17">
        <f>14*B17</f>
        <v>0</v>
      </c>
    </row>
    <row r="18" spans="1:3" x14ac:dyDescent="0.35">
      <c r="A18" t="s">
        <v>16</v>
      </c>
      <c r="B18">
        <f>SUGHI!E217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18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0" customHeight="1" x14ac:dyDescent="0.35">
      <c r="A1" s="22" t="s">
        <v>67</v>
      </c>
      <c r="B1" s="22"/>
      <c r="C1" s="22"/>
      <c r="D1" s="22"/>
    </row>
    <row r="4" spans="1:4" x14ac:dyDescent="0.35">
      <c r="A4" t="s">
        <v>2</v>
      </c>
      <c r="B4">
        <f>SUGHI!F203</f>
        <v>0</v>
      </c>
      <c r="C4">
        <f>1*B4</f>
        <v>0</v>
      </c>
    </row>
    <row r="5" spans="1:4" x14ac:dyDescent="0.35">
      <c r="A5" t="s">
        <v>3</v>
      </c>
      <c r="B5">
        <f>SUGHI!F204</f>
        <v>3</v>
      </c>
      <c r="C5">
        <f>2*B5</f>
        <v>6</v>
      </c>
    </row>
    <row r="6" spans="1:4" x14ac:dyDescent="0.35">
      <c r="A6" t="s">
        <v>4</v>
      </c>
      <c r="B6">
        <f>SUGHI!F205</f>
        <v>1</v>
      </c>
      <c r="C6">
        <f>3*B6</f>
        <v>3</v>
      </c>
    </row>
    <row r="7" spans="1:4" x14ac:dyDescent="0.35">
      <c r="A7" t="s">
        <v>5</v>
      </c>
      <c r="B7">
        <f>SUGHI!F206</f>
        <v>1</v>
      </c>
      <c r="C7">
        <f>4*B7</f>
        <v>4</v>
      </c>
    </row>
    <row r="8" spans="1:4" x14ac:dyDescent="0.35">
      <c r="A8" t="s">
        <v>6</v>
      </c>
      <c r="B8">
        <f>SUGHI!F207</f>
        <v>5</v>
      </c>
      <c r="C8">
        <f>5*B8</f>
        <v>25</v>
      </c>
    </row>
    <row r="9" spans="1:4" x14ac:dyDescent="0.35">
      <c r="A9" t="s">
        <v>7</v>
      </c>
      <c r="B9">
        <f>SUGHI!F208</f>
        <v>1</v>
      </c>
      <c r="C9">
        <f>6*B9</f>
        <v>6</v>
      </c>
    </row>
    <row r="10" spans="1:4" x14ac:dyDescent="0.35">
      <c r="A10" t="s">
        <v>8</v>
      </c>
      <c r="B10">
        <f>SUGHI!F209</f>
        <v>0</v>
      </c>
      <c r="C10">
        <f>7*B10</f>
        <v>0</v>
      </c>
    </row>
    <row r="11" spans="1:4" x14ac:dyDescent="0.35">
      <c r="A11" t="s">
        <v>9</v>
      </c>
      <c r="B11">
        <f>SUGHI!F210</f>
        <v>2</v>
      </c>
      <c r="C11">
        <f>8*B11</f>
        <v>16</v>
      </c>
    </row>
    <row r="12" spans="1:4" x14ac:dyDescent="0.35">
      <c r="A12" t="s">
        <v>10</v>
      </c>
      <c r="B12">
        <f>SUGHI!F211</f>
        <v>1</v>
      </c>
      <c r="C12">
        <f>9*B12</f>
        <v>9</v>
      </c>
    </row>
    <row r="13" spans="1:4" x14ac:dyDescent="0.35">
      <c r="A13" t="s">
        <v>11</v>
      </c>
      <c r="B13">
        <f>SUGHI!F212</f>
        <v>0</v>
      </c>
      <c r="C13">
        <f>10*B13</f>
        <v>0</v>
      </c>
    </row>
    <row r="14" spans="1:4" x14ac:dyDescent="0.35">
      <c r="A14" t="s">
        <v>12</v>
      </c>
      <c r="B14">
        <f>SUGHI!F213</f>
        <v>0</v>
      </c>
      <c r="C14">
        <f>11*B14</f>
        <v>0</v>
      </c>
    </row>
    <row r="15" spans="1:4" x14ac:dyDescent="0.35">
      <c r="A15" t="s">
        <v>13</v>
      </c>
      <c r="B15">
        <f>SUGHI!F214</f>
        <v>0</v>
      </c>
      <c r="C15">
        <f>12*B15</f>
        <v>0</v>
      </c>
    </row>
    <row r="16" spans="1:4" x14ac:dyDescent="0.35">
      <c r="A16" t="s">
        <v>14</v>
      </c>
      <c r="B16">
        <f>SUGHI!F215</f>
        <v>0</v>
      </c>
      <c r="C16">
        <f>13*B16</f>
        <v>0</v>
      </c>
    </row>
    <row r="17" spans="1:3" x14ac:dyDescent="0.35">
      <c r="A17" t="s">
        <v>15</v>
      </c>
      <c r="B17">
        <f>SUGHI!F216</f>
        <v>0</v>
      </c>
      <c r="C17">
        <f>14*B17</f>
        <v>0</v>
      </c>
    </row>
    <row r="18" spans="1:3" x14ac:dyDescent="0.35">
      <c r="A18" t="s">
        <v>16</v>
      </c>
      <c r="B18">
        <f>SUGHI!F217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69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43" customHeight="1" x14ac:dyDescent="0.35">
      <c r="A1" s="22" t="s">
        <v>102</v>
      </c>
      <c r="B1" s="22"/>
      <c r="C1" s="22"/>
      <c r="D1" s="22"/>
    </row>
    <row r="4" spans="1:4" x14ac:dyDescent="0.35">
      <c r="A4" t="s">
        <v>2</v>
      </c>
      <c r="B4">
        <f>'SECONDI '!C203</f>
        <v>3</v>
      </c>
      <c r="C4">
        <f>1*B4</f>
        <v>3</v>
      </c>
    </row>
    <row r="5" spans="1:4" x14ac:dyDescent="0.35">
      <c r="A5" t="s">
        <v>3</v>
      </c>
      <c r="B5">
        <f>'SECONDI '!C204</f>
        <v>9</v>
      </c>
      <c r="C5">
        <f>2*B5</f>
        <v>18</v>
      </c>
    </row>
    <row r="6" spans="1:4" x14ac:dyDescent="0.35">
      <c r="A6" t="s">
        <v>4</v>
      </c>
      <c r="B6">
        <f>'SECONDI '!C205</f>
        <v>5</v>
      </c>
      <c r="C6">
        <f>3*B6</f>
        <v>15</v>
      </c>
    </row>
    <row r="7" spans="1:4" x14ac:dyDescent="0.35">
      <c r="A7" t="s">
        <v>5</v>
      </c>
      <c r="B7">
        <f>'SECONDI '!C206</f>
        <v>3</v>
      </c>
      <c r="C7">
        <f>4*B7</f>
        <v>12</v>
      </c>
    </row>
    <row r="8" spans="1:4" x14ac:dyDescent="0.35">
      <c r="A8" t="s">
        <v>6</v>
      </c>
      <c r="B8">
        <f>'SECONDI '!C207</f>
        <v>1</v>
      </c>
      <c r="C8">
        <f>5*B8</f>
        <v>5</v>
      </c>
    </row>
    <row r="9" spans="1:4" x14ac:dyDescent="0.35">
      <c r="A9" t="s">
        <v>7</v>
      </c>
      <c r="B9">
        <f>'SECONDI '!C208</f>
        <v>4</v>
      </c>
      <c r="C9">
        <f>6*B9</f>
        <v>24</v>
      </c>
    </row>
    <row r="10" spans="1:4" x14ac:dyDescent="0.35">
      <c r="A10" t="s">
        <v>8</v>
      </c>
      <c r="B10">
        <f>'SECONDI '!C209</f>
        <v>2</v>
      </c>
      <c r="C10">
        <f>7*B10</f>
        <v>14</v>
      </c>
    </row>
    <row r="11" spans="1:4" x14ac:dyDescent="0.35">
      <c r="A11" t="s">
        <v>9</v>
      </c>
      <c r="B11">
        <f>'SECONDI '!C210</f>
        <v>2</v>
      </c>
      <c r="C11">
        <f>8*B11</f>
        <v>16</v>
      </c>
    </row>
    <row r="12" spans="1:4" x14ac:dyDescent="0.35">
      <c r="A12" t="s">
        <v>10</v>
      </c>
      <c r="B12">
        <f>'SECONDI '!C211</f>
        <v>0</v>
      </c>
      <c r="C12">
        <f>9*B12</f>
        <v>0</v>
      </c>
    </row>
    <row r="13" spans="1:4" x14ac:dyDescent="0.35">
      <c r="A13" t="s">
        <v>11</v>
      </c>
      <c r="B13">
        <f>'SECONDI '!C212</f>
        <v>0</v>
      </c>
      <c r="C13">
        <f>10*B13</f>
        <v>0</v>
      </c>
    </row>
    <row r="14" spans="1:4" x14ac:dyDescent="0.35">
      <c r="A14" t="s">
        <v>12</v>
      </c>
      <c r="B14">
        <f>'SECONDI '!C213</f>
        <v>0</v>
      </c>
      <c r="C14">
        <f>11*B14</f>
        <v>0</v>
      </c>
    </row>
    <row r="15" spans="1:4" x14ac:dyDescent="0.35">
      <c r="A15" t="s">
        <v>13</v>
      </c>
      <c r="B15">
        <f>'SECONDI '!C214</f>
        <v>1</v>
      </c>
      <c r="C15">
        <f>12*B15</f>
        <v>12</v>
      </c>
    </row>
    <row r="16" spans="1:4" x14ac:dyDescent="0.35">
      <c r="A16" t="s">
        <v>14</v>
      </c>
      <c r="B16">
        <f>'SECONDI '!C215</f>
        <v>0</v>
      </c>
      <c r="C16">
        <f>13*B16</f>
        <v>0</v>
      </c>
    </row>
    <row r="17" spans="1:3" x14ac:dyDescent="0.35">
      <c r="A17" t="s">
        <v>15</v>
      </c>
      <c r="B17">
        <f>'SECONDI '!C216</f>
        <v>0</v>
      </c>
      <c r="C17">
        <f>14*B17</f>
        <v>0</v>
      </c>
    </row>
    <row r="18" spans="1:3" x14ac:dyDescent="0.35">
      <c r="A18" t="s">
        <v>16</v>
      </c>
      <c r="B18">
        <f>'SECONDI '!C217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119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30" customHeight="1" x14ac:dyDescent="0.35">
      <c r="A1" s="22" t="s">
        <v>68</v>
      </c>
      <c r="B1" s="22"/>
      <c r="C1" s="22"/>
      <c r="D1" s="22"/>
    </row>
    <row r="3" spans="1:4" x14ac:dyDescent="0.35">
      <c r="B3" t="s">
        <v>106</v>
      </c>
      <c r="C3" t="s">
        <v>107</v>
      </c>
    </row>
    <row r="4" spans="1:4" x14ac:dyDescent="0.35">
      <c r="A4" t="s">
        <v>2</v>
      </c>
      <c r="B4">
        <f>'SECONDI '!D203</f>
        <v>6</v>
      </c>
      <c r="C4">
        <f>1*B4</f>
        <v>6</v>
      </c>
    </row>
    <row r="5" spans="1:4" x14ac:dyDescent="0.35">
      <c r="A5" t="s">
        <v>3</v>
      </c>
      <c r="B5">
        <f>'SECONDI '!D204</f>
        <v>7</v>
      </c>
      <c r="C5">
        <f>2*B5</f>
        <v>14</v>
      </c>
    </row>
    <row r="6" spans="1:4" x14ac:dyDescent="0.35">
      <c r="A6" t="s">
        <v>4</v>
      </c>
      <c r="B6">
        <f>'SECONDI '!D205</f>
        <v>2</v>
      </c>
      <c r="C6">
        <f>3*B6</f>
        <v>6</v>
      </c>
    </row>
    <row r="7" spans="1:4" x14ac:dyDescent="0.35">
      <c r="A7" t="s">
        <v>5</v>
      </c>
      <c r="B7">
        <f>'SECONDI '!D206</f>
        <v>3</v>
      </c>
      <c r="C7">
        <f>4*B7</f>
        <v>12</v>
      </c>
    </row>
    <row r="8" spans="1:4" x14ac:dyDescent="0.35">
      <c r="A8" t="s">
        <v>6</v>
      </c>
      <c r="B8">
        <f>'SECONDI '!D207</f>
        <v>1</v>
      </c>
      <c r="C8">
        <f>5*B8</f>
        <v>5</v>
      </c>
    </row>
    <row r="9" spans="1:4" x14ac:dyDescent="0.35">
      <c r="A9" t="s">
        <v>7</v>
      </c>
      <c r="B9">
        <f>'SECONDI '!D208</f>
        <v>4</v>
      </c>
      <c r="C9">
        <f>6*B9</f>
        <v>24</v>
      </c>
    </row>
    <row r="10" spans="1:4" x14ac:dyDescent="0.35">
      <c r="A10" t="s">
        <v>8</v>
      </c>
      <c r="B10">
        <f>'SECONDI '!D209</f>
        <v>0</v>
      </c>
      <c r="C10">
        <f>7*B10</f>
        <v>0</v>
      </c>
    </row>
    <row r="11" spans="1:4" x14ac:dyDescent="0.35">
      <c r="A11" t="s">
        <v>9</v>
      </c>
      <c r="B11">
        <f>'SECONDI '!D210</f>
        <v>2</v>
      </c>
      <c r="C11">
        <f>8*B11</f>
        <v>16</v>
      </c>
    </row>
    <row r="12" spans="1:4" x14ac:dyDescent="0.35">
      <c r="A12" t="s">
        <v>10</v>
      </c>
      <c r="B12">
        <f>'SECONDI '!D211</f>
        <v>0</v>
      </c>
      <c r="C12">
        <f>9*B12</f>
        <v>0</v>
      </c>
    </row>
    <row r="13" spans="1:4" x14ac:dyDescent="0.35">
      <c r="A13" t="s">
        <v>11</v>
      </c>
      <c r="B13">
        <f>'SECONDI '!D212</f>
        <v>0</v>
      </c>
      <c r="C13">
        <f>10*B13</f>
        <v>0</v>
      </c>
    </row>
    <row r="14" spans="1:4" x14ac:dyDescent="0.35">
      <c r="A14" t="s">
        <v>12</v>
      </c>
      <c r="B14">
        <f>'SECONDI '!D213</f>
        <v>0</v>
      </c>
      <c r="C14">
        <f>11*B14</f>
        <v>0</v>
      </c>
    </row>
    <row r="15" spans="1:4" x14ac:dyDescent="0.35">
      <c r="A15" t="s">
        <v>13</v>
      </c>
      <c r="B15">
        <f>'SECONDI '!D214</f>
        <v>0</v>
      </c>
      <c r="C15">
        <f>12*B15</f>
        <v>0</v>
      </c>
    </row>
    <row r="16" spans="1:4" x14ac:dyDescent="0.35">
      <c r="A16" t="s">
        <v>14</v>
      </c>
      <c r="B16">
        <f>'SECONDI '!D215</f>
        <v>0</v>
      </c>
      <c r="C16">
        <f>13*B16</f>
        <v>0</v>
      </c>
    </row>
    <row r="17" spans="1:3" x14ac:dyDescent="0.35">
      <c r="A17" t="s">
        <v>15</v>
      </c>
      <c r="B17">
        <f>'SECONDI '!D216</f>
        <v>0</v>
      </c>
      <c r="C17">
        <f>14*B17</f>
        <v>0</v>
      </c>
    </row>
    <row r="18" spans="1:3" x14ac:dyDescent="0.35">
      <c r="A18" t="s">
        <v>16</v>
      </c>
      <c r="B18">
        <f>'SECONDI '!D217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83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45" customHeight="1" x14ac:dyDescent="0.35">
      <c r="A1" s="22" t="s">
        <v>103</v>
      </c>
      <c r="B1" s="22"/>
      <c r="C1" s="22"/>
      <c r="D1" s="22"/>
    </row>
    <row r="4" spans="1:4" x14ac:dyDescent="0.35">
      <c r="A4" t="s">
        <v>2</v>
      </c>
      <c r="B4">
        <f>'SECONDI '!E203</f>
        <v>3</v>
      </c>
      <c r="C4">
        <f>1*B4</f>
        <v>3</v>
      </c>
    </row>
    <row r="5" spans="1:4" x14ac:dyDescent="0.35">
      <c r="A5" t="s">
        <v>3</v>
      </c>
      <c r="B5">
        <f>'SECONDI '!E204</f>
        <v>4</v>
      </c>
      <c r="C5">
        <f>2*B5</f>
        <v>8</v>
      </c>
    </row>
    <row r="6" spans="1:4" x14ac:dyDescent="0.35">
      <c r="A6" t="s">
        <v>4</v>
      </c>
      <c r="B6">
        <f>'SECONDI '!E205</f>
        <v>2</v>
      </c>
      <c r="C6">
        <f>3*B6</f>
        <v>6</v>
      </c>
    </row>
    <row r="7" spans="1:4" x14ac:dyDescent="0.35">
      <c r="A7" t="s">
        <v>5</v>
      </c>
      <c r="B7">
        <f>'SECONDI '!E206</f>
        <v>1</v>
      </c>
      <c r="C7">
        <f>4*B7</f>
        <v>4</v>
      </c>
    </row>
    <row r="8" spans="1:4" x14ac:dyDescent="0.35">
      <c r="A8" t="s">
        <v>6</v>
      </c>
      <c r="B8">
        <f>'SECONDI '!E207</f>
        <v>0</v>
      </c>
      <c r="C8">
        <f>5*B8</f>
        <v>0</v>
      </c>
    </row>
    <row r="9" spans="1:4" x14ac:dyDescent="0.35">
      <c r="A9" t="s">
        <v>7</v>
      </c>
      <c r="B9">
        <f>'SECONDI '!E208</f>
        <v>0</v>
      </c>
      <c r="C9">
        <f>6*B9</f>
        <v>0</v>
      </c>
    </row>
    <row r="10" spans="1:4" x14ac:dyDescent="0.35">
      <c r="A10" t="s">
        <v>8</v>
      </c>
      <c r="B10">
        <f>'SECONDI '!E209</f>
        <v>0</v>
      </c>
      <c r="C10">
        <f>7*B10</f>
        <v>0</v>
      </c>
    </row>
    <row r="11" spans="1:4" x14ac:dyDescent="0.35">
      <c r="A11" t="s">
        <v>9</v>
      </c>
      <c r="B11">
        <f>'SECONDI '!E210</f>
        <v>0</v>
      </c>
      <c r="C11">
        <f>8*B11</f>
        <v>0</v>
      </c>
    </row>
    <row r="12" spans="1:4" x14ac:dyDescent="0.35">
      <c r="A12" t="s">
        <v>10</v>
      </c>
      <c r="B12">
        <f>'SECONDI '!E211</f>
        <v>0</v>
      </c>
      <c r="C12">
        <f>9*B12</f>
        <v>0</v>
      </c>
    </row>
    <row r="13" spans="1:4" x14ac:dyDescent="0.35">
      <c r="A13" t="s">
        <v>11</v>
      </c>
      <c r="B13">
        <f>'SECONDI '!E212</f>
        <v>0</v>
      </c>
      <c r="C13">
        <f>10*B13</f>
        <v>0</v>
      </c>
    </row>
    <row r="14" spans="1:4" x14ac:dyDescent="0.35">
      <c r="A14" t="s">
        <v>12</v>
      </c>
      <c r="B14">
        <f>'SECONDI '!E213</f>
        <v>0</v>
      </c>
      <c r="C14">
        <f>11*B14</f>
        <v>0</v>
      </c>
    </row>
    <row r="15" spans="1:4" x14ac:dyDescent="0.35">
      <c r="A15" t="s">
        <v>13</v>
      </c>
      <c r="B15">
        <f>'SECONDI '!E214</f>
        <v>0</v>
      </c>
      <c r="C15">
        <f>12*B15</f>
        <v>0</v>
      </c>
    </row>
    <row r="16" spans="1:4" x14ac:dyDescent="0.35">
      <c r="A16" t="s">
        <v>14</v>
      </c>
      <c r="B16">
        <f>'SECONDI '!E215</f>
        <v>0</v>
      </c>
      <c r="C16">
        <f>13*B16</f>
        <v>0</v>
      </c>
    </row>
    <row r="17" spans="1:3" x14ac:dyDescent="0.35">
      <c r="A17" t="s">
        <v>15</v>
      </c>
      <c r="B17">
        <f>'SECONDI '!E216</f>
        <v>0</v>
      </c>
      <c r="C17">
        <f>14*B17</f>
        <v>0</v>
      </c>
    </row>
    <row r="18" spans="1:3" x14ac:dyDescent="0.35">
      <c r="A18" t="s">
        <v>16</v>
      </c>
      <c r="B18">
        <f>'SECONDI '!E217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21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9"/>
  <sheetViews>
    <sheetView topLeftCell="A10" workbookViewId="0">
      <selection activeCell="D19" sqref="A1:D19"/>
    </sheetView>
  </sheetViews>
  <sheetFormatPr defaultRowHeight="14.5" x14ac:dyDescent="0.35"/>
  <sheetData>
    <row r="1" spans="1:4" ht="46.25" customHeight="1" x14ac:dyDescent="0.35">
      <c r="A1" s="22" t="s">
        <v>104</v>
      </c>
      <c r="B1" s="22"/>
      <c r="C1" s="22"/>
      <c r="D1" s="22"/>
    </row>
    <row r="4" spans="1:4" x14ac:dyDescent="0.35">
      <c r="A4" t="s">
        <v>2</v>
      </c>
      <c r="B4">
        <f>'SECONDI '!F203</f>
        <v>4</v>
      </c>
      <c r="C4">
        <f>1*B4</f>
        <v>4</v>
      </c>
    </row>
    <row r="5" spans="1:4" x14ac:dyDescent="0.35">
      <c r="A5" t="s">
        <v>3</v>
      </c>
      <c r="B5">
        <f>'SECONDI '!F204</f>
        <v>6</v>
      </c>
      <c r="C5">
        <f>2*B5</f>
        <v>12</v>
      </c>
    </row>
    <row r="6" spans="1:4" x14ac:dyDescent="0.35">
      <c r="A6" t="s">
        <v>4</v>
      </c>
      <c r="B6">
        <f>'SECONDI '!F205</f>
        <v>1</v>
      </c>
      <c r="C6">
        <f>3*B6</f>
        <v>3</v>
      </c>
    </row>
    <row r="7" spans="1:4" x14ac:dyDescent="0.35">
      <c r="A7" t="s">
        <v>5</v>
      </c>
      <c r="B7">
        <f>'SECONDI '!F206</f>
        <v>1</v>
      </c>
      <c r="C7">
        <f>4*B7</f>
        <v>4</v>
      </c>
    </row>
    <row r="8" spans="1:4" x14ac:dyDescent="0.35">
      <c r="A8" t="s">
        <v>6</v>
      </c>
      <c r="B8">
        <f>'SECONDI '!F207</f>
        <v>0</v>
      </c>
      <c r="C8">
        <f>5*B8</f>
        <v>0</v>
      </c>
    </row>
    <row r="9" spans="1:4" x14ac:dyDescent="0.35">
      <c r="A9" t="s">
        <v>7</v>
      </c>
      <c r="B9">
        <f>'SECONDI '!F208</f>
        <v>0</v>
      </c>
      <c r="C9">
        <f>6*B9</f>
        <v>0</v>
      </c>
    </row>
    <row r="10" spans="1:4" x14ac:dyDescent="0.35">
      <c r="A10" t="s">
        <v>8</v>
      </c>
      <c r="B10">
        <f>'SECONDI '!F209</f>
        <v>0</v>
      </c>
      <c r="C10">
        <f>7*B10</f>
        <v>0</v>
      </c>
    </row>
    <row r="11" spans="1:4" x14ac:dyDescent="0.35">
      <c r="A11" t="s">
        <v>9</v>
      </c>
      <c r="B11">
        <f>'SECONDI '!F210</f>
        <v>0</v>
      </c>
      <c r="C11">
        <f>8*B11</f>
        <v>0</v>
      </c>
    </row>
    <row r="12" spans="1:4" x14ac:dyDescent="0.35">
      <c r="A12" t="s">
        <v>10</v>
      </c>
      <c r="B12">
        <f>'SECONDI '!F211</f>
        <v>0</v>
      </c>
      <c r="C12">
        <f>9*B12</f>
        <v>0</v>
      </c>
    </row>
    <row r="13" spans="1:4" x14ac:dyDescent="0.35">
      <c r="A13" t="s">
        <v>11</v>
      </c>
      <c r="B13">
        <f>'SECONDI '!F212</f>
        <v>0</v>
      </c>
      <c r="C13">
        <f>10*B13</f>
        <v>0</v>
      </c>
    </row>
    <row r="14" spans="1:4" x14ac:dyDescent="0.35">
      <c r="A14" t="s">
        <v>12</v>
      </c>
      <c r="B14">
        <f>'SECONDI '!F213</f>
        <v>0</v>
      </c>
      <c r="C14">
        <f>11*B14</f>
        <v>0</v>
      </c>
    </row>
    <row r="15" spans="1:4" x14ac:dyDescent="0.35">
      <c r="A15" t="s">
        <v>13</v>
      </c>
      <c r="B15">
        <f>'SECONDI '!F214</f>
        <v>0</v>
      </c>
      <c r="C15">
        <f>12*B15</f>
        <v>0</v>
      </c>
    </row>
    <row r="16" spans="1:4" x14ac:dyDescent="0.35">
      <c r="A16" t="s">
        <v>14</v>
      </c>
      <c r="B16">
        <f>'SECONDI '!F215</f>
        <v>0</v>
      </c>
      <c r="C16">
        <f>13*B16</f>
        <v>0</v>
      </c>
    </row>
    <row r="17" spans="1:3" x14ac:dyDescent="0.35">
      <c r="A17" t="s">
        <v>15</v>
      </c>
      <c r="B17">
        <f>'SECONDI '!F216</f>
        <v>0</v>
      </c>
      <c r="C17">
        <f>14*B17</f>
        <v>0</v>
      </c>
    </row>
    <row r="18" spans="1:3" x14ac:dyDescent="0.35">
      <c r="A18" t="s">
        <v>16</v>
      </c>
      <c r="B18">
        <f>'SECONDI '!F217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23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9"/>
  <sheetViews>
    <sheetView workbookViewId="0">
      <selection activeCell="D19" sqref="A1:D19"/>
    </sheetView>
  </sheetViews>
  <sheetFormatPr defaultRowHeight="14.5" x14ac:dyDescent="0.35"/>
  <sheetData>
    <row r="1" spans="1:4" ht="63.5" customHeight="1" x14ac:dyDescent="0.35">
      <c r="A1" s="22" t="s">
        <v>105</v>
      </c>
      <c r="B1" s="22"/>
      <c r="C1" s="22"/>
      <c r="D1" s="22"/>
    </row>
    <row r="4" spans="1:4" x14ac:dyDescent="0.35">
      <c r="A4" t="s">
        <v>2</v>
      </c>
      <c r="B4">
        <f>'SECONDI '!G203</f>
        <v>1</v>
      </c>
      <c r="C4">
        <f>1*B4</f>
        <v>1</v>
      </c>
    </row>
    <row r="5" spans="1:4" x14ac:dyDescent="0.35">
      <c r="A5" t="s">
        <v>3</v>
      </c>
      <c r="B5">
        <f>'SECONDI '!G204</f>
        <v>1</v>
      </c>
      <c r="C5">
        <f>2*B5</f>
        <v>2</v>
      </c>
    </row>
    <row r="6" spans="1:4" x14ac:dyDescent="0.35">
      <c r="A6" t="s">
        <v>4</v>
      </c>
      <c r="B6">
        <f>'SECONDI '!G205</f>
        <v>0</v>
      </c>
      <c r="C6">
        <f>3*B6</f>
        <v>0</v>
      </c>
    </row>
    <row r="7" spans="1:4" x14ac:dyDescent="0.35">
      <c r="A7" t="s">
        <v>5</v>
      </c>
      <c r="B7">
        <f>'SECONDI '!G206</f>
        <v>0</v>
      </c>
      <c r="C7">
        <f>4*B7</f>
        <v>0</v>
      </c>
    </row>
    <row r="8" spans="1:4" x14ac:dyDescent="0.35">
      <c r="A8" t="s">
        <v>6</v>
      </c>
      <c r="B8">
        <f>'SECONDI '!G207</f>
        <v>0</v>
      </c>
      <c r="C8">
        <f>5*B8</f>
        <v>0</v>
      </c>
    </row>
    <row r="9" spans="1:4" x14ac:dyDescent="0.35">
      <c r="A9" t="s">
        <v>7</v>
      </c>
      <c r="B9">
        <f>'SECONDI '!G208</f>
        <v>0</v>
      </c>
      <c r="C9">
        <f>6*B9</f>
        <v>0</v>
      </c>
    </row>
    <row r="10" spans="1:4" x14ac:dyDescent="0.35">
      <c r="A10" t="s">
        <v>8</v>
      </c>
      <c r="B10">
        <f>'SECONDI '!G209</f>
        <v>0</v>
      </c>
      <c r="C10">
        <f>7*B10</f>
        <v>0</v>
      </c>
    </row>
    <row r="11" spans="1:4" x14ac:dyDescent="0.35">
      <c r="A11" t="s">
        <v>9</v>
      </c>
      <c r="B11">
        <f>'SECONDI '!G210</f>
        <v>0</v>
      </c>
      <c r="C11">
        <f>8*B11</f>
        <v>0</v>
      </c>
    </row>
    <row r="12" spans="1:4" x14ac:dyDescent="0.35">
      <c r="A12" t="s">
        <v>10</v>
      </c>
      <c r="B12">
        <f>'SECONDI '!G211</f>
        <v>0</v>
      </c>
      <c r="C12">
        <f>9*B12</f>
        <v>0</v>
      </c>
    </row>
    <row r="13" spans="1:4" x14ac:dyDescent="0.35">
      <c r="A13" t="s">
        <v>11</v>
      </c>
      <c r="B13">
        <f>'SECONDI '!G212</f>
        <v>0</v>
      </c>
      <c r="C13">
        <f>10*B13</f>
        <v>0</v>
      </c>
    </row>
    <row r="14" spans="1:4" x14ac:dyDescent="0.35">
      <c r="A14" t="s">
        <v>12</v>
      </c>
      <c r="B14">
        <f>'SECONDI '!G213</f>
        <v>0</v>
      </c>
      <c r="C14">
        <f>11*B14</f>
        <v>0</v>
      </c>
    </row>
    <row r="15" spans="1:4" x14ac:dyDescent="0.35">
      <c r="A15" t="s">
        <v>13</v>
      </c>
      <c r="B15">
        <f>'SECONDI '!G214</f>
        <v>0</v>
      </c>
      <c r="C15">
        <f>12*B15</f>
        <v>0</v>
      </c>
    </row>
    <row r="16" spans="1:4" x14ac:dyDescent="0.35">
      <c r="A16" t="s">
        <v>14</v>
      </c>
      <c r="B16">
        <f>'SECONDI '!G215</f>
        <v>0</v>
      </c>
      <c r="C16">
        <f>13*B16</f>
        <v>0</v>
      </c>
    </row>
    <row r="17" spans="1:3" x14ac:dyDescent="0.35">
      <c r="A17" t="s">
        <v>15</v>
      </c>
      <c r="B17">
        <f>'SECONDI '!G216</f>
        <v>0</v>
      </c>
      <c r="C17">
        <f>14*B17</f>
        <v>0</v>
      </c>
    </row>
    <row r="18" spans="1:3" x14ac:dyDescent="0.35">
      <c r="A18" t="s">
        <v>16</v>
      </c>
      <c r="B18">
        <f>'SECONDI '!G217</f>
        <v>0</v>
      </c>
      <c r="C18">
        <f>15*B18</f>
        <v>0</v>
      </c>
    </row>
    <row r="19" spans="1:3" x14ac:dyDescent="0.35">
      <c r="B19" s="6" t="s">
        <v>1</v>
      </c>
      <c r="C19" s="6">
        <f>SUM(C4:C18)</f>
        <v>3</v>
      </c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9"/>
  <sheetViews>
    <sheetView workbookViewId="0">
      <selection sqref="A1:D1"/>
    </sheetView>
  </sheetViews>
  <sheetFormatPr defaultRowHeight="14.5" x14ac:dyDescent="0.35"/>
  <sheetData>
    <row r="1" spans="1:4" ht="33" customHeight="1" x14ac:dyDescent="0.35">
      <c r="A1" s="24" t="s">
        <v>69</v>
      </c>
      <c r="B1" s="24"/>
      <c r="C1" s="24"/>
      <c r="D1" s="24"/>
    </row>
    <row r="4" spans="1:4" x14ac:dyDescent="0.35">
      <c r="A4" t="s">
        <v>2</v>
      </c>
      <c r="B4">
        <f>SUGHI!G203</f>
        <v>0</v>
      </c>
      <c r="C4">
        <f>1*B4</f>
        <v>0</v>
      </c>
    </row>
    <row r="5" spans="1:4" x14ac:dyDescent="0.35">
      <c r="A5" t="s">
        <v>3</v>
      </c>
      <c r="B5">
        <f>SUGHI!G204</f>
        <v>0</v>
      </c>
      <c r="C5">
        <f>2*B5</f>
        <v>0</v>
      </c>
    </row>
    <row r="6" spans="1:4" x14ac:dyDescent="0.35">
      <c r="A6" t="s">
        <v>4</v>
      </c>
      <c r="B6">
        <f>SUGHI!G205</f>
        <v>0</v>
      </c>
      <c r="C6">
        <f>3*B6</f>
        <v>0</v>
      </c>
    </row>
    <row r="7" spans="1:4" x14ac:dyDescent="0.35">
      <c r="A7" t="s">
        <v>5</v>
      </c>
      <c r="B7">
        <f>SUGHI!G206</f>
        <v>0</v>
      </c>
      <c r="C7">
        <f>4*B7</f>
        <v>0</v>
      </c>
    </row>
    <row r="8" spans="1:4" x14ac:dyDescent="0.35">
      <c r="A8" t="s">
        <v>6</v>
      </c>
      <c r="B8">
        <f>SUGHI!G207</f>
        <v>0</v>
      </c>
      <c r="C8">
        <f>5*B8</f>
        <v>0</v>
      </c>
    </row>
    <row r="9" spans="1:4" x14ac:dyDescent="0.35">
      <c r="A9" t="s">
        <v>7</v>
      </c>
      <c r="B9">
        <f>SUGHI!G208</f>
        <v>0</v>
      </c>
      <c r="C9">
        <f>6*B9</f>
        <v>0</v>
      </c>
    </row>
    <row r="10" spans="1:4" x14ac:dyDescent="0.35">
      <c r="A10" t="s">
        <v>8</v>
      </c>
      <c r="B10">
        <f>SUGHI!G209</f>
        <v>0</v>
      </c>
      <c r="C10">
        <f>7*B10</f>
        <v>0</v>
      </c>
    </row>
    <row r="11" spans="1:4" x14ac:dyDescent="0.35">
      <c r="A11" t="s">
        <v>9</v>
      </c>
      <c r="B11">
        <f>SUGHI!G210</f>
        <v>0</v>
      </c>
      <c r="C11">
        <f>8*B11</f>
        <v>0</v>
      </c>
    </row>
    <row r="12" spans="1:4" x14ac:dyDescent="0.35">
      <c r="A12" t="s">
        <v>10</v>
      </c>
      <c r="B12">
        <f>SUGHI!G211</f>
        <v>0</v>
      </c>
      <c r="C12">
        <f>9*B12</f>
        <v>0</v>
      </c>
    </row>
    <row r="13" spans="1:4" x14ac:dyDescent="0.35">
      <c r="A13" t="s">
        <v>11</v>
      </c>
      <c r="B13">
        <f>SUGHI!G212</f>
        <v>0</v>
      </c>
      <c r="C13">
        <f>10*B13</f>
        <v>0</v>
      </c>
    </row>
    <row r="14" spans="1:4" x14ac:dyDescent="0.35">
      <c r="A14" t="s">
        <v>12</v>
      </c>
      <c r="B14">
        <f>SUGHI!G213</f>
        <v>0</v>
      </c>
      <c r="C14">
        <f>11*B14</f>
        <v>0</v>
      </c>
    </row>
    <row r="15" spans="1:4" x14ac:dyDescent="0.35">
      <c r="A15" t="s">
        <v>13</v>
      </c>
      <c r="B15">
        <f>SUGHI!G214</f>
        <v>0</v>
      </c>
      <c r="C15">
        <f>12*B15</f>
        <v>0</v>
      </c>
    </row>
    <row r="16" spans="1:4" x14ac:dyDescent="0.35">
      <c r="A16" t="s">
        <v>14</v>
      </c>
      <c r="B16">
        <f>SUGHI!G215</f>
        <v>0</v>
      </c>
      <c r="C16">
        <f>13*B16</f>
        <v>0</v>
      </c>
    </row>
    <row r="17" spans="1:3" x14ac:dyDescent="0.35">
      <c r="A17" t="s">
        <v>15</v>
      </c>
      <c r="B17">
        <f>SUGHI!G216</f>
        <v>0</v>
      </c>
      <c r="C17">
        <f>14*B17</f>
        <v>0</v>
      </c>
    </row>
    <row r="18" spans="1:3" x14ac:dyDescent="0.35">
      <c r="A18" t="s">
        <v>16</v>
      </c>
      <c r="B18">
        <f>SUGHI!G217</f>
        <v>0</v>
      </c>
      <c r="C18">
        <f>15*B18</f>
        <v>0</v>
      </c>
    </row>
    <row r="19" spans="1:3" x14ac:dyDescent="0.35">
      <c r="A19" t="s">
        <v>17</v>
      </c>
      <c r="B19">
        <f>SUGHI!G218</f>
        <v>0</v>
      </c>
      <c r="C19">
        <f>16*B19</f>
        <v>0</v>
      </c>
    </row>
    <row r="20" spans="1:3" x14ac:dyDescent="0.35">
      <c r="A20" t="s">
        <v>73</v>
      </c>
      <c r="B20">
        <f>SUGHI!G219</f>
        <v>0</v>
      </c>
      <c r="C20">
        <f>17*B20</f>
        <v>0</v>
      </c>
    </row>
    <row r="21" spans="1:3" x14ac:dyDescent="0.35">
      <c r="A21" t="s">
        <v>74</v>
      </c>
      <c r="B21">
        <f>SUGHI!G220</f>
        <v>0</v>
      </c>
      <c r="C21">
        <f>18*B21</f>
        <v>0</v>
      </c>
    </row>
    <row r="22" spans="1:3" x14ac:dyDescent="0.35">
      <c r="A22" t="s">
        <v>75</v>
      </c>
      <c r="B22">
        <f>SUGHI!G221</f>
        <v>0</v>
      </c>
      <c r="C22">
        <f>19*B22</f>
        <v>0</v>
      </c>
    </row>
    <row r="23" spans="1:3" x14ac:dyDescent="0.35">
      <c r="A23" t="s">
        <v>76</v>
      </c>
      <c r="B23">
        <f>SUGHI!G222</f>
        <v>0</v>
      </c>
      <c r="C23">
        <f>20*B23</f>
        <v>0</v>
      </c>
    </row>
    <row r="24" spans="1:3" x14ac:dyDescent="0.35">
      <c r="A24" t="s">
        <v>77</v>
      </c>
      <c r="B24">
        <f>SUGHI!G223</f>
        <v>0</v>
      </c>
      <c r="C24">
        <f>21*B24</f>
        <v>0</v>
      </c>
    </row>
    <row r="25" spans="1:3" x14ac:dyDescent="0.35">
      <c r="A25" t="s">
        <v>78</v>
      </c>
      <c r="B25">
        <f>SUGHI!G224</f>
        <v>0</v>
      </c>
      <c r="C25">
        <f>22*B25</f>
        <v>0</v>
      </c>
    </row>
    <row r="26" spans="1:3" x14ac:dyDescent="0.35">
      <c r="A26" t="s">
        <v>79</v>
      </c>
      <c r="B26">
        <f>SUGHI!G225</f>
        <v>0</v>
      </c>
      <c r="C26">
        <f>23*B26</f>
        <v>0</v>
      </c>
    </row>
    <row r="27" spans="1:3" x14ac:dyDescent="0.35">
      <c r="A27" t="s">
        <v>80</v>
      </c>
      <c r="B27">
        <f>SUGHI!G226</f>
        <v>0</v>
      </c>
      <c r="C27">
        <f>24*B27</f>
        <v>0</v>
      </c>
    </row>
    <row r="28" spans="1:3" x14ac:dyDescent="0.35">
      <c r="A28" t="s">
        <v>81</v>
      </c>
      <c r="B28">
        <f>SUGHI!G227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0</v>
      </c>
    </row>
  </sheetData>
  <mergeCells count="1">
    <mergeCell ref="A1:D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9"/>
  <sheetViews>
    <sheetView topLeftCell="A9" workbookViewId="0">
      <selection activeCell="B23" sqref="B23"/>
    </sheetView>
  </sheetViews>
  <sheetFormatPr defaultRowHeight="14.5" x14ac:dyDescent="0.35"/>
  <sheetData>
    <row r="1" spans="1:4" ht="35.5" customHeight="1" x14ac:dyDescent="0.35">
      <c r="A1" s="24" t="s">
        <v>70</v>
      </c>
      <c r="B1" s="24"/>
      <c r="C1" s="24"/>
      <c r="D1" s="24"/>
    </row>
    <row r="4" spans="1:4" x14ac:dyDescent="0.35">
      <c r="A4" t="s">
        <v>2</v>
      </c>
      <c r="B4">
        <f>SUGHI!H203</f>
        <v>0</v>
      </c>
      <c r="C4">
        <f>1*B4</f>
        <v>0</v>
      </c>
    </row>
    <row r="5" spans="1:4" x14ac:dyDescent="0.35">
      <c r="A5" t="s">
        <v>3</v>
      </c>
      <c r="B5">
        <f>SUGHI!H204</f>
        <v>0</v>
      </c>
      <c r="C5">
        <f>2*B5</f>
        <v>0</v>
      </c>
    </row>
    <row r="6" spans="1:4" x14ac:dyDescent="0.35">
      <c r="A6" t="s">
        <v>4</v>
      </c>
      <c r="B6">
        <f>SUGHI!H205</f>
        <v>0</v>
      </c>
      <c r="C6">
        <f>3*B6</f>
        <v>0</v>
      </c>
    </row>
    <row r="7" spans="1:4" x14ac:dyDescent="0.35">
      <c r="A7" t="s">
        <v>5</v>
      </c>
      <c r="B7">
        <f>SUGHI!H206</f>
        <v>0</v>
      </c>
      <c r="C7">
        <f>4*B7</f>
        <v>0</v>
      </c>
    </row>
    <row r="8" spans="1:4" x14ac:dyDescent="0.35">
      <c r="A8" t="s">
        <v>6</v>
      </c>
      <c r="B8">
        <f>SUGHI!H207</f>
        <v>0</v>
      </c>
      <c r="C8">
        <f>5*B8</f>
        <v>0</v>
      </c>
    </row>
    <row r="9" spans="1:4" x14ac:dyDescent="0.35">
      <c r="A9" t="s">
        <v>7</v>
      </c>
      <c r="B9">
        <f>SUGHI!H208</f>
        <v>0</v>
      </c>
      <c r="C9">
        <f>6*B9</f>
        <v>0</v>
      </c>
    </row>
    <row r="10" spans="1:4" x14ac:dyDescent="0.35">
      <c r="A10" t="s">
        <v>8</v>
      </c>
      <c r="B10">
        <f>SUGHI!H209</f>
        <v>0</v>
      </c>
      <c r="C10">
        <f>7*B10</f>
        <v>0</v>
      </c>
    </row>
    <row r="11" spans="1:4" x14ac:dyDescent="0.35">
      <c r="A11" t="s">
        <v>9</v>
      </c>
      <c r="B11">
        <f>SUGHI!H210</f>
        <v>0</v>
      </c>
      <c r="C11">
        <f>8*B11</f>
        <v>0</v>
      </c>
    </row>
    <row r="12" spans="1:4" x14ac:dyDescent="0.35">
      <c r="A12" t="s">
        <v>10</v>
      </c>
      <c r="B12">
        <f>SUGHI!H211</f>
        <v>0</v>
      </c>
      <c r="C12">
        <f>9*B12</f>
        <v>0</v>
      </c>
    </row>
    <row r="13" spans="1:4" x14ac:dyDescent="0.35">
      <c r="A13" t="s">
        <v>11</v>
      </c>
      <c r="B13">
        <f>SUGHI!H212</f>
        <v>0</v>
      </c>
      <c r="C13">
        <f>10*B13</f>
        <v>0</v>
      </c>
    </row>
    <row r="14" spans="1:4" x14ac:dyDescent="0.35">
      <c r="A14" t="s">
        <v>12</v>
      </c>
      <c r="B14">
        <f>SUGHI!H213</f>
        <v>0</v>
      </c>
      <c r="C14">
        <f>11*B14</f>
        <v>0</v>
      </c>
    </row>
    <row r="15" spans="1:4" x14ac:dyDescent="0.35">
      <c r="A15" t="s">
        <v>13</v>
      </c>
      <c r="B15">
        <f>SUGHI!H214</f>
        <v>0</v>
      </c>
      <c r="C15">
        <f>12*B15</f>
        <v>0</v>
      </c>
    </row>
    <row r="16" spans="1:4" x14ac:dyDescent="0.35">
      <c r="A16" t="s">
        <v>14</v>
      </c>
      <c r="B16">
        <f>SUGHI!H215</f>
        <v>0</v>
      </c>
      <c r="C16">
        <f>13*B16</f>
        <v>0</v>
      </c>
    </row>
    <row r="17" spans="1:3" x14ac:dyDescent="0.35">
      <c r="A17" t="s">
        <v>15</v>
      </c>
      <c r="B17">
        <f>SUGHI!H216</f>
        <v>0</v>
      </c>
      <c r="C17">
        <f>14*B17</f>
        <v>0</v>
      </c>
    </row>
    <row r="18" spans="1:3" x14ac:dyDescent="0.35">
      <c r="A18" t="s">
        <v>16</v>
      </c>
      <c r="B18">
        <f>SUGHI!H217</f>
        <v>0</v>
      </c>
      <c r="C18">
        <f>15*B18</f>
        <v>0</v>
      </c>
    </row>
    <row r="19" spans="1:3" x14ac:dyDescent="0.35">
      <c r="A19" t="s">
        <v>17</v>
      </c>
      <c r="B19">
        <f>SUGHI!H218</f>
        <v>0</v>
      </c>
      <c r="C19">
        <f>16*B19</f>
        <v>0</v>
      </c>
    </row>
    <row r="20" spans="1:3" x14ac:dyDescent="0.35">
      <c r="A20" t="s">
        <v>73</v>
      </c>
      <c r="B20">
        <f>SUGHI!H219</f>
        <v>0</v>
      </c>
      <c r="C20">
        <f>17*B20</f>
        <v>0</v>
      </c>
    </row>
    <row r="21" spans="1:3" x14ac:dyDescent="0.35">
      <c r="A21" t="s">
        <v>74</v>
      </c>
      <c r="B21">
        <f>SUGHI!H220</f>
        <v>0</v>
      </c>
      <c r="C21">
        <f>18*B21</f>
        <v>0</v>
      </c>
    </row>
    <row r="22" spans="1:3" x14ac:dyDescent="0.35">
      <c r="A22" t="s">
        <v>75</v>
      </c>
      <c r="B22">
        <f>SUGHI!H221</f>
        <v>0</v>
      </c>
      <c r="C22">
        <f>19*B22</f>
        <v>0</v>
      </c>
    </row>
    <row r="23" spans="1:3" x14ac:dyDescent="0.35">
      <c r="A23" t="s">
        <v>76</v>
      </c>
      <c r="B23">
        <f>SUGHI!H222</f>
        <v>0</v>
      </c>
      <c r="C23">
        <f>20*B23</f>
        <v>0</v>
      </c>
    </row>
    <row r="24" spans="1:3" x14ac:dyDescent="0.35">
      <c r="A24" t="s">
        <v>77</v>
      </c>
      <c r="B24">
        <f>SUGHI!H223</f>
        <v>0</v>
      </c>
      <c r="C24">
        <f>21*B24</f>
        <v>0</v>
      </c>
    </row>
    <row r="25" spans="1:3" x14ac:dyDescent="0.35">
      <c r="A25" t="s">
        <v>78</v>
      </c>
      <c r="B25">
        <f>SUGHI!H224</f>
        <v>0</v>
      </c>
      <c r="C25">
        <f>22*B25</f>
        <v>0</v>
      </c>
    </row>
    <row r="26" spans="1:3" x14ac:dyDescent="0.35">
      <c r="A26" t="s">
        <v>79</v>
      </c>
      <c r="B26">
        <f>SUGHI!H225</f>
        <v>0</v>
      </c>
      <c r="C26">
        <f>23*B26</f>
        <v>0</v>
      </c>
    </row>
    <row r="27" spans="1:3" x14ac:dyDescent="0.35">
      <c r="A27" t="s">
        <v>80</v>
      </c>
      <c r="B27">
        <f>SUGHI!H226</f>
        <v>0</v>
      </c>
      <c r="C27">
        <f>24*B27</f>
        <v>0</v>
      </c>
    </row>
    <row r="28" spans="1:3" x14ac:dyDescent="0.35">
      <c r="A28" t="s">
        <v>81</v>
      </c>
      <c r="B28">
        <f>SUGHI!H227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0</v>
      </c>
    </row>
  </sheetData>
  <mergeCells count="1">
    <mergeCell ref="A1: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9"/>
  <sheetViews>
    <sheetView topLeftCell="A8" workbookViewId="0">
      <selection activeCell="B24" sqref="B24"/>
    </sheetView>
  </sheetViews>
  <sheetFormatPr defaultRowHeight="14.5" x14ac:dyDescent="0.35"/>
  <sheetData>
    <row r="1" spans="1:4" ht="31" customHeight="1" x14ac:dyDescent="0.35">
      <c r="A1" s="24" t="s">
        <v>71</v>
      </c>
      <c r="B1" s="24"/>
      <c r="C1" s="24"/>
      <c r="D1" s="24"/>
    </row>
    <row r="4" spans="1:4" x14ac:dyDescent="0.35">
      <c r="A4" t="s">
        <v>2</v>
      </c>
      <c r="B4">
        <f>'SECONDI '!H203</f>
        <v>0</v>
      </c>
      <c r="C4">
        <f>1*B4</f>
        <v>0</v>
      </c>
    </row>
    <row r="5" spans="1:4" x14ac:dyDescent="0.35">
      <c r="A5" t="s">
        <v>3</v>
      </c>
      <c r="B5">
        <f>'SECONDI '!H204</f>
        <v>0</v>
      </c>
      <c r="C5">
        <f>2*B5</f>
        <v>0</v>
      </c>
    </row>
    <row r="6" spans="1:4" x14ac:dyDescent="0.35">
      <c r="A6" t="s">
        <v>4</v>
      </c>
      <c r="B6">
        <f>'SECONDI '!H205</f>
        <v>0</v>
      </c>
      <c r="C6">
        <f>3*B6</f>
        <v>0</v>
      </c>
    </row>
    <row r="7" spans="1:4" x14ac:dyDescent="0.35">
      <c r="A7" t="s">
        <v>5</v>
      </c>
      <c r="B7">
        <f>'SECONDI '!H206</f>
        <v>0</v>
      </c>
      <c r="C7">
        <f>4*B7</f>
        <v>0</v>
      </c>
    </row>
    <row r="8" spans="1:4" x14ac:dyDescent="0.35">
      <c r="A8" t="s">
        <v>6</v>
      </c>
      <c r="B8">
        <f>'SECONDI '!H207</f>
        <v>0</v>
      </c>
      <c r="C8">
        <f>5*B8</f>
        <v>0</v>
      </c>
    </row>
    <row r="9" spans="1:4" x14ac:dyDescent="0.35">
      <c r="A9" t="s">
        <v>7</v>
      </c>
      <c r="B9">
        <f>'SECONDI '!H208</f>
        <v>0</v>
      </c>
      <c r="C9">
        <f>6*B9</f>
        <v>0</v>
      </c>
    </row>
    <row r="10" spans="1:4" x14ac:dyDescent="0.35">
      <c r="A10" t="s">
        <v>8</v>
      </c>
      <c r="B10">
        <f>'SECONDI '!H209</f>
        <v>0</v>
      </c>
      <c r="C10">
        <f>7*B10</f>
        <v>0</v>
      </c>
    </row>
    <row r="11" spans="1:4" x14ac:dyDescent="0.35">
      <c r="A11" t="s">
        <v>9</v>
      </c>
      <c r="B11">
        <f>'SECONDI '!H210</f>
        <v>0</v>
      </c>
      <c r="C11">
        <f>8*B11</f>
        <v>0</v>
      </c>
    </row>
    <row r="12" spans="1:4" x14ac:dyDescent="0.35">
      <c r="A12" t="s">
        <v>10</v>
      </c>
      <c r="B12">
        <f>'SECONDI '!H211</f>
        <v>0</v>
      </c>
      <c r="C12">
        <f>9*B12</f>
        <v>0</v>
      </c>
    </row>
    <row r="13" spans="1:4" x14ac:dyDescent="0.35">
      <c r="A13" t="s">
        <v>11</v>
      </c>
      <c r="B13">
        <f>'SECONDI '!H212</f>
        <v>0</v>
      </c>
      <c r="C13">
        <f>10*B13</f>
        <v>0</v>
      </c>
    </row>
    <row r="14" spans="1:4" x14ac:dyDescent="0.35">
      <c r="A14" t="s">
        <v>12</v>
      </c>
      <c r="B14">
        <f>'SECONDI '!H213</f>
        <v>0</v>
      </c>
      <c r="C14">
        <f>11*B14</f>
        <v>0</v>
      </c>
    </row>
    <row r="15" spans="1:4" x14ac:dyDescent="0.35">
      <c r="A15" t="s">
        <v>13</v>
      </c>
      <c r="B15">
        <f>'SECONDI '!H214</f>
        <v>0</v>
      </c>
      <c r="C15">
        <f>12*B15</f>
        <v>0</v>
      </c>
    </row>
    <row r="16" spans="1:4" x14ac:dyDescent="0.35">
      <c r="A16" t="s">
        <v>14</v>
      </c>
      <c r="B16">
        <f>'SECONDI '!H215</f>
        <v>0</v>
      </c>
      <c r="C16">
        <f>13*B16</f>
        <v>0</v>
      </c>
    </row>
    <row r="17" spans="1:3" x14ac:dyDescent="0.35">
      <c r="A17" t="s">
        <v>15</v>
      </c>
      <c r="B17">
        <f>'SECONDI '!H216</f>
        <v>0</v>
      </c>
      <c r="C17">
        <f>14*B17</f>
        <v>0</v>
      </c>
    </row>
    <row r="18" spans="1:3" x14ac:dyDescent="0.35">
      <c r="A18" t="s">
        <v>16</v>
      </c>
      <c r="B18">
        <f>'SECONDI '!H217</f>
        <v>0</v>
      </c>
      <c r="C18">
        <f>15*B18</f>
        <v>0</v>
      </c>
    </row>
    <row r="19" spans="1:3" x14ac:dyDescent="0.35">
      <c r="A19" t="s">
        <v>17</v>
      </c>
      <c r="B19">
        <f>'SECONDI '!H218</f>
        <v>0</v>
      </c>
      <c r="C19">
        <f>16*B19</f>
        <v>0</v>
      </c>
    </row>
    <row r="20" spans="1:3" x14ac:dyDescent="0.35">
      <c r="A20" t="s">
        <v>73</v>
      </c>
      <c r="B20">
        <f>'SECONDI '!H219</f>
        <v>0</v>
      </c>
      <c r="C20">
        <f>17*B20</f>
        <v>0</v>
      </c>
    </row>
    <row r="21" spans="1:3" x14ac:dyDescent="0.35">
      <c r="A21" t="s">
        <v>74</v>
      </c>
      <c r="B21">
        <f>'SECONDI '!H220</f>
        <v>0</v>
      </c>
      <c r="C21">
        <f>18*B21</f>
        <v>0</v>
      </c>
    </row>
    <row r="22" spans="1:3" x14ac:dyDescent="0.35">
      <c r="A22" t="s">
        <v>75</v>
      </c>
      <c r="B22">
        <f>'SECONDI '!H221</f>
        <v>0</v>
      </c>
      <c r="C22">
        <f>19*B22</f>
        <v>0</v>
      </c>
    </row>
    <row r="23" spans="1:3" x14ac:dyDescent="0.35">
      <c r="A23" t="s">
        <v>76</v>
      </c>
      <c r="B23">
        <f>'SECONDI '!H222</f>
        <v>0</v>
      </c>
      <c r="C23">
        <f>20*B23</f>
        <v>0</v>
      </c>
    </row>
    <row r="24" spans="1:3" x14ac:dyDescent="0.35">
      <c r="A24" t="s">
        <v>77</v>
      </c>
      <c r="B24">
        <f>'SECONDI '!H223</f>
        <v>0</v>
      </c>
      <c r="C24">
        <f>21*B24</f>
        <v>0</v>
      </c>
    </row>
    <row r="25" spans="1:3" x14ac:dyDescent="0.35">
      <c r="A25" t="s">
        <v>78</v>
      </c>
      <c r="B25">
        <f>'SECONDI '!H224</f>
        <v>0</v>
      </c>
      <c r="C25">
        <f>22*B25</f>
        <v>0</v>
      </c>
    </row>
    <row r="26" spans="1:3" x14ac:dyDescent="0.35">
      <c r="A26" t="s">
        <v>79</v>
      </c>
      <c r="B26">
        <f>'SECONDI '!H225</f>
        <v>0</v>
      </c>
      <c r="C26">
        <f>23*B26</f>
        <v>0</v>
      </c>
    </row>
    <row r="27" spans="1:3" x14ac:dyDescent="0.35">
      <c r="A27" t="s">
        <v>80</v>
      </c>
      <c r="B27">
        <f>'SECONDI '!H226</f>
        <v>0</v>
      </c>
      <c r="C27">
        <f>24*B27</f>
        <v>0</v>
      </c>
    </row>
    <row r="28" spans="1:3" x14ac:dyDescent="0.35">
      <c r="A28" t="s">
        <v>81</v>
      </c>
      <c r="B28">
        <f>'SECONDI '!H227</f>
        <v>0</v>
      </c>
      <c r="C28">
        <f>25*B28</f>
        <v>0</v>
      </c>
    </row>
    <row r="29" spans="1:3" x14ac:dyDescent="0.35">
      <c r="B29" s="6" t="s">
        <v>1</v>
      </c>
      <c r="C29" s="6">
        <f>SUM(C4:C28)</f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42</vt:i4>
      </vt:variant>
      <vt:variant>
        <vt:lpstr>Intervalli denominati</vt:lpstr>
      </vt:variant>
      <vt:variant>
        <vt:i4>33</vt:i4>
      </vt:variant>
    </vt:vector>
  </HeadingPairs>
  <TitlesOfParts>
    <vt:vector size="75" baseType="lpstr">
      <vt:lpstr>ANTIPASTI</vt:lpstr>
      <vt:lpstr>CRUDI</vt:lpstr>
      <vt:lpstr>PRIMI</vt:lpstr>
      <vt:lpstr>SUGHI</vt:lpstr>
      <vt:lpstr>SECONDI </vt:lpstr>
      <vt:lpstr>SALMONE MARINATO</vt:lpstr>
      <vt:lpstr>POLPO MEDITERRANEA</vt:lpstr>
      <vt:lpstr>POLPO E PATATE</vt:lpstr>
      <vt:lpstr>INSALATA DI MARE</vt:lpstr>
      <vt:lpstr>INSALATA RUSSA</vt:lpstr>
      <vt:lpstr>COCKTAIL GAMBERI</vt:lpstr>
      <vt:lpstr>INSALATA BACCALA</vt:lpstr>
      <vt:lpstr>GAMBERI CATALANA</vt:lpstr>
      <vt:lpstr>FLAN</vt:lpstr>
      <vt:lpstr>BRIOCHE SALMONE</vt:lpstr>
      <vt:lpstr>SFORMATINO</vt:lpstr>
      <vt:lpstr>GAMBERI KATAIFI</vt:lpstr>
      <vt:lpstr>PANETTONE</vt:lpstr>
      <vt:lpstr>ARAGOSTA BELLAVISTA</vt:lpstr>
      <vt:lpstr>PIATTO MISTO</vt:lpstr>
      <vt:lpstr>MAREMIO</vt:lpstr>
      <vt:lpstr>TART TONNO</vt:lpstr>
      <vt:lpstr>TART SALMONE</vt:lpstr>
      <vt:lpstr>TART ORATA</vt:lpstr>
      <vt:lpstr>TART BRANZINO</vt:lpstr>
      <vt:lpstr>LASAGNA MAZZANCOLLE</vt:lpstr>
      <vt:lpstr>CRESPELLE GAMBERI</vt:lpstr>
      <vt:lpstr>LASAGNA BRANZINO</vt:lpstr>
      <vt:lpstr>CANNELLONI</vt:lpstr>
      <vt:lpstr>CAPESANTE</vt:lpstr>
      <vt:lpstr>SUGO ASTICE</vt:lpstr>
      <vt:lpstr>RAGU GALLINELLA</vt:lpstr>
      <vt:lpstr>PESTO</vt:lpstr>
      <vt:lpstr>SUGO PESCATORA</vt:lpstr>
      <vt:lpstr>SPIEDINI</vt:lpstr>
      <vt:lpstr>ORATA</vt:lpstr>
      <vt:lpstr>BACCALA</vt:lpstr>
      <vt:lpstr>BRANZINO</vt:lpstr>
      <vt:lpstr>SALMONE</vt:lpstr>
      <vt:lpstr>EXTRA SUGHI 1</vt:lpstr>
      <vt:lpstr>EXTRA SUGHI 2</vt:lpstr>
      <vt:lpstr>EXTRA SECONDI</vt:lpstr>
      <vt:lpstr>BACCALA!Area_stampa</vt:lpstr>
      <vt:lpstr>BRANZINO!Area_stampa</vt:lpstr>
      <vt:lpstr>'BRIOCHE SALMONE'!Area_stampa</vt:lpstr>
      <vt:lpstr>CANNELLONI!Area_stampa</vt:lpstr>
      <vt:lpstr>CAPESANTE!Area_stampa</vt:lpstr>
      <vt:lpstr>'COCKTAIL GAMBERI'!Area_stampa</vt:lpstr>
      <vt:lpstr>'CRESPELLE GAMBERI'!Area_stampa</vt:lpstr>
      <vt:lpstr>FLAN!Area_stampa</vt:lpstr>
      <vt:lpstr>'GAMBERI CATALANA'!Area_stampa</vt:lpstr>
      <vt:lpstr>'GAMBERI KATAIFI'!Area_stampa</vt:lpstr>
      <vt:lpstr>'INSALATA BACCALA'!Area_stampa</vt:lpstr>
      <vt:lpstr>'INSALATA DI MARE'!Area_stampa</vt:lpstr>
      <vt:lpstr>'INSALATA RUSSA'!Area_stampa</vt:lpstr>
      <vt:lpstr>'LASAGNA BRANZINO'!Area_stampa</vt:lpstr>
      <vt:lpstr>'LASAGNA MAZZANCOLLE'!Area_stampa</vt:lpstr>
      <vt:lpstr>MAREMIO!Area_stampa</vt:lpstr>
      <vt:lpstr>ORATA!Area_stampa</vt:lpstr>
      <vt:lpstr>PANETTONE!Area_stampa</vt:lpstr>
      <vt:lpstr>PESTO!Area_stampa</vt:lpstr>
      <vt:lpstr>'PIATTO MISTO'!Area_stampa</vt:lpstr>
      <vt:lpstr>'POLPO E PATATE'!Area_stampa</vt:lpstr>
      <vt:lpstr>'POLPO MEDITERRANEA'!Area_stampa</vt:lpstr>
      <vt:lpstr>'RAGU GALLINELLA'!Area_stampa</vt:lpstr>
      <vt:lpstr>SALMONE!Area_stampa</vt:lpstr>
      <vt:lpstr>'SALMONE MARINATO'!Area_stampa</vt:lpstr>
      <vt:lpstr>SFORMATINO!Area_stampa</vt:lpstr>
      <vt:lpstr>SPIEDINI!Area_stampa</vt:lpstr>
      <vt:lpstr>'SUGO ASTICE'!Area_stampa</vt:lpstr>
      <vt:lpstr>'SUGO PESCATORA'!Area_stampa</vt:lpstr>
      <vt:lpstr>'TART BRANZINO'!Area_stampa</vt:lpstr>
      <vt:lpstr>'TART ORATA'!Area_stampa</vt:lpstr>
      <vt:lpstr>'TART SALMONE'!Area_stampa</vt:lpstr>
      <vt:lpstr>'TART TONNO'!Area_stampa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cucchiani</dc:creator>
  <cp:lastModifiedBy>chiara castelli</cp:lastModifiedBy>
  <cp:lastPrinted>2024-12-22T19:41:29Z</cp:lastPrinted>
  <dcterms:created xsi:type="dcterms:W3CDTF">2023-11-14T21:38:56Z</dcterms:created>
  <dcterms:modified xsi:type="dcterms:W3CDTF">2024-12-22T19:41:33Z</dcterms:modified>
</cp:coreProperties>
</file>